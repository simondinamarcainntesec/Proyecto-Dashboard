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es" sheetId="2" state="visible" r:id="rId2"/>
    <sheet xmlns:r="http://schemas.openxmlformats.org/officeDocument/2006/relationships" name="Riesgos" sheetId="3" state="visible" r:id="rId3"/>
    <sheet xmlns:r="http://schemas.openxmlformats.org/officeDocument/2006/relationships" name="Listas" sheetId="4" state="hidden" r:id="rId4"/>
    <sheet xmlns:r="http://schemas.openxmlformats.org/officeDocument/2006/relationships" name="Dashboard" sheetId="5" state="visible" r:id="rId5"/>
  </sheets>
  <definedNames>
    <definedName name="_xlnm._FilterDatabase" localSheetId="1" hidden="1">'Controles'!$A$1:$S$94</definedName>
    <definedName name="_xlnm._FilterDatabase" localSheetId="2" hidden="1">'Riesgos'!$A$1:$H$11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implementado por dominio (sobre aplicables)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Dominio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Implementado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estados por dominio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'Dashboard'!$E$5:$E$8</f>
            </numRef>
          </val>
        </ser>
        <ser>
          <idx val="1"/>
          <order val="1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'Dashboard'!$F$5:$F$8</f>
            </numRef>
          </val>
        </ser>
        <ser>
          <idx val="2"/>
          <order val="2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'Dashboard'!$G$5:$G$8</f>
            </numRef>
          </val>
        </ser>
        <ser>
          <idx val="3"/>
          <order val="3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Dominio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controles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ntroles" displayName="tblControles" ref="A1:Q94" headerRowCount="1">
  <autoFilter ref="A1:Q94"/>
  <tableColumns count="17">
    <tableColumn id="1" name="Dominio"/>
    <tableColumn id="2" name="Dominio (calc)"/>
    <tableColumn id="3" name="Categoría"/>
    <tableColumn id="4" name="Código"/>
    <tableColumn id="5" name="Control (paráfrasis)"/>
    <tableColumn id="6" name="Aplicable (Sí/No)"/>
    <tableColumn id="7" name="Estado"/>
    <tableColumn id="8" name="Justificación (SoA)"/>
    <tableColumn id="9" name="Evidencias (enlaces/rutas)"/>
    <tableColumn id="10" name="Responsable"/>
    <tableColumn id="11" name="Riesgo principal (ID)"/>
    <tableColumn id="12" name="Nivel de riesgo (lookup)"/>
    <tableColumn id="13" name="Fecha objetivo"/>
    <tableColumn id="14" name="Última revisión"/>
    <tableColumn id="15" name="Progreso %"/>
    <tableColumn id="16" name="Alerta"/>
    <tableColumn id="17" name="Nota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Plantilla SGSI – Controles ISO/IEC 27001:2022 (93 controles)</t>
        </is>
      </c>
    </row>
    <row r="2"/>
    <row r="3">
      <c r="A3" s="2" t="inlineStr">
        <is>
          <t>Uso:</t>
        </is>
      </c>
    </row>
    <row r="4">
      <c r="A4" t="inlineStr">
        <is>
          <t>1) Complete en 'Controles' el estado, SoA, evidencias, responsable y riesgos.</t>
        </is>
      </c>
    </row>
    <row r="5">
      <c r="A5" t="inlineStr">
        <is>
          <t>2) Registre riesgos en 'Riesgos' y vincule el ID al control (Riesgo principal).</t>
        </is>
      </c>
    </row>
    <row r="6">
      <c r="A6" t="inlineStr">
        <is>
          <t>3) Revise 'Dashboard' para ver porcentajes por dominio y alertas.</t>
        </is>
      </c>
    </row>
    <row r="7"/>
    <row r="8">
      <c r="A8" t="inlineStr">
        <is>
          <t>Listas desplegables:</t>
        </is>
      </c>
    </row>
    <row r="9">
      <c r="A9" t="inlineStr">
        <is>
          <t>- Estado: Implementado / En proceso / No implementado / No aplicable</t>
        </is>
      </c>
    </row>
    <row r="10"/>
    <row r="11">
      <c r="A11" t="inlineStr">
        <is>
          <t>Referencias (URLs):</t>
        </is>
      </c>
    </row>
    <row r="12">
      <c r="A12" t="inlineStr">
        <is>
          <t>ISO/IEC 27001:2022: https://www.iso.org/standard/27001</t>
        </is>
      </c>
    </row>
    <row r="13">
      <c r="A13" t="inlineStr">
        <is>
          <t>ISO/IEC 27002:2022: https://www.iso.org/standard/75652.html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hidden="1" width="14" customWidth="1" min="2" max="2"/>
    <col width="16" customWidth="1" min="3" max="3"/>
    <col width="10" customWidth="1" min="4" max="4"/>
    <col width="44" customWidth="1" min="5" max="5"/>
    <col width="60" customWidth="1" min="6" max="6"/>
    <col width="60" customWidth="1" min="7" max="7"/>
    <col width="14" customWidth="1" min="8" max="8"/>
    <col width="16" customWidth="1" min="9" max="9"/>
    <col width="50" customWidth="1" min="10" max="10"/>
    <col width="42" customWidth="1" min="11" max="11"/>
    <col width="20" customWidth="1" min="12" max="12"/>
    <col width="18" customWidth="1" min="13" max="13"/>
    <col width="18" customWidth="1" min="14" max="14"/>
    <col width="14" customWidth="1" min="15" max="15"/>
    <col width="14" customWidth="1" min="16" max="16"/>
    <col width="10" customWidth="1" min="17" max="17"/>
    <col width="20" customWidth="1" min="18" max="18"/>
    <col width="30" customWidth="1" min="19" max="19"/>
  </cols>
  <sheetData>
    <row r="1" ht="32" customHeight="1">
      <c r="A1" s="3" t="inlineStr">
        <is>
          <t>Dominio</t>
        </is>
      </c>
      <c r="B1" s="3" t="inlineStr">
        <is>
          <t>Dominio (calc)</t>
        </is>
      </c>
      <c r="C1" s="3" t="inlineStr">
        <is>
          <t>Categoría</t>
        </is>
      </c>
      <c r="D1" s="3" t="inlineStr">
        <is>
          <t>Código</t>
        </is>
      </c>
      <c r="E1" s="3" t="inlineStr">
        <is>
          <t>Control (paráfrasis)</t>
        </is>
      </c>
      <c r="F1" s="3" t="inlineStr">
        <is>
          <t>Descripción (detalle)</t>
        </is>
      </c>
      <c r="G1" s="3" t="inlineStr">
        <is>
          <t>Actividad para cumplir</t>
        </is>
      </c>
      <c r="H1" s="3" t="inlineStr">
        <is>
          <t>Aplicable (Sí/No)</t>
        </is>
      </c>
      <c r="I1" s="3" t="inlineStr">
        <is>
          <t>Estado</t>
        </is>
      </c>
      <c r="J1" s="3" t="inlineStr">
        <is>
          <t>Justificación (SoA)</t>
        </is>
      </c>
      <c r="K1" s="3" t="inlineStr">
        <is>
          <t>Evidencias (enlaces/rutas)</t>
        </is>
      </c>
      <c r="L1" s="3" t="inlineStr">
        <is>
          <t>Responsable</t>
        </is>
      </c>
      <c r="M1" s="3" t="inlineStr">
        <is>
          <t>Riesgo principal (ID)</t>
        </is>
      </c>
      <c r="N1" s="3" t="inlineStr">
        <is>
          <t>Nivel de riesgo (lookup)</t>
        </is>
      </c>
      <c r="O1" s="3" t="inlineStr">
        <is>
          <t>Fecha objetivo</t>
        </is>
      </c>
      <c r="P1" s="3" t="inlineStr">
        <is>
          <t>Última revisión</t>
        </is>
      </c>
      <c r="Q1" s="3" t="inlineStr">
        <is>
          <t>Progreso %</t>
        </is>
      </c>
      <c r="R1" s="3" t="inlineStr">
        <is>
          <t>Alerta</t>
        </is>
      </c>
      <c r="S1" s="3" t="inlineStr">
        <is>
          <t>Notas</t>
        </is>
      </c>
    </row>
    <row r="2" ht="48" customHeight="1">
      <c r="A2" s="4" t="inlineStr">
        <is>
          <t>A.5</t>
        </is>
      </c>
      <c r="B2" s="4" t="inlineStr">
        <is>
          <t>DOM_A5</t>
        </is>
      </c>
      <c r="C2" s="4" t="inlineStr">
        <is>
          <t>Organizacionales</t>
        </is>
      </c>
      <c r="D2" s="4" t="inlineStr">
        <is>
          <t>A.5.1</t>
        </is>
      </c>
      <c r="E2" s="5" t="inlineStr">
        <is>
          <t>Política global y políticas temáticas de SI</t>
        </is>
      </c>
      <c r="F2" s="5" t="inlineStr">
        <is>
          <t>Define y mantiene la política de seguridad de la información y políticas temáticas; deben ser aprobadas, comunicadas, reconocidas y revisadas periódicamente.</t>
        </is>
      </c>
      <c r="G2" s="5" t="inlineStr">
        <is>
          <t>• Redactar política SGSI y políticas por tema
• aprobar en alta dirección
• publicar en repositorio oficial
• comunicar y obtener acuse del personal
• revisar al menos anual y ante cambios
• gestionar excepciones.</t>
        </is>
      </c>
      <c r="H2" s="4">
        <f>IF($I2="No aplicable","No","Sí")</f>
        <v/>
      </c>
      <c r="I2" s="6" t="inlineStr">
        <is>
          <t>Implementado</t>
        </is>
      </c>
      <c r="J2" s="7" t="inlineStr">
        <is>
          <t>Política aprobada por alta dirección; revisiones anuales y ante cambios.</t>
        </is>
      </c>
      <c r="K2" s="7" t="inlineStr">
        <is>
          <t>Doc: Política_SI_v1.2.pdf; Registro de comunicación; control de versiones.</t>
        </is>
      </c>
      <c r="L2" s="6" t="inlineStr">
        <is>
          <t>CISO</t>
        </is>
      </c>
      <c r="M2" s="6" t="inlineStr">
        <is>
          <t>R-002</t>
        </is>
      </c>
      <c r="N2" s="4">
        <f>IFERROR(VLOOKUP($M2,Riesgos!$A$2:$E$200,5,FALSE),"")</f>
        <v/>
      </c>
      <c r="O2" s="8" t="n">
        <v>46053</v>
      </c>
      <c r="P2" s="8" t="n">
        <v>46006</v>
      </c>
      <c r="Q2" s="9" t="n">
        <v>1</v>
      </c>
      <c r="R2" s="4">
        <f>IF($H2&lt;&gt;"Sí","",IF($I2="No implementado",IF(OR($N2="Muy alto",$N2="Alto"),"ALERTA ALTA","ALERTA"),IF(AND($I2="En proceso",OR($N2="Muy alto",$N2="Alto")),"EN PROCESO (riesgo alto)","")))</f>
        <v/>
      </c>
      <c r="S2" s="7" t="inlineStr"/>
    </row>
    <row r="3" ht="48" customHeight="1">
      <c r="A3" s="4" t="inlineStr">
        <is>
          <t>A.5</t>
        </is>
      </c>
      <c r="B3" s="4" t="inlineStr">
        <is>
          <t>DOM_A5</t>
        </is>
      </c>
      <c r="C3" s="4" t="inlineStr">
        <is>
          <t>Organizacionales</t>
        </is>
      </c>
      <c r="D3" s="4" t="inlineStr">
        <is>
          <t>A.5.2</t>
        </is>
      </c>
      <c r="E3" s="5" t="inlineStr">
        <is>
          <t>Roles y responsabilidades de SI</t>
        </is>
      </c>
      <c r="F3" s="5" t="inlineStr">
        <is>
          <t>Define y asigna roles, responsabilidades y autoridades de seguridad de la información de forma clara y entendible dentro de la organización.</t>
        </is>
      </c>
      <c r="G3" s="5" t="inlineStr">
        <is>
          <t>• Mapear funciones (RACI)
• nombrar responsables por procesos/activos/riesgos
• documentar responsabilidades y niveles de autorización
• comunicar a cada rol
• asegurar competencia/formación
• revisar tras cambios organizacionales.</t>
        </is>
      </c>
      <c r="H3" s="4">
        <f>IF($I3="No aplicable","No","Sí")</f>
        <v/>
      </c>
      <c r="I3" s="6" t="n"/>
      <c r="J3" s="7" t="inlineStr"/>
      <c r="K3" s="7" t="inlineStr"/>
      <c r="L3" s="6" t="inlineStr"/>
      <c r="M3" s="6" t="inlineStr"/>
      <c r="N3" s="4">
        <f>IFERROR(VLOOKUP($M3,Riesgos!$A$2:$E$200,5,FALSE),"")</f>
        <v/>
      </c>
      <c r="O3" s="8" t="n"/>
      <c r="P3" s="8" t="n"/>
      <c r="Q3" s="9" t="n"/>
      <c r="R3" s="4">
        <f>IF($H3&lt;&gt;"Sí","",IF($I3="No implementado",IF(OR($N3="Muy alto",$N3="Alto"),"ALERTA ALTA","ALERTA"),IF(AND($I3="En proceso",OR($N3="Muy alto",$N3="Alto")),"EN PROCESO (riesgo alto)","")))</f>
        <v/>
      </c>
      <c r="S3" s="7" t="inlineStr"/>
    </row>
    <row r="4" ht="48" customHeight="1">
      <c r="A4" s="4" t="inlineStr">
        <is>
          <t>A.5</t>
        </is>
      </c>
      <c r="B4" s="4" t="inlineStr">
        <is>
          <t>DOM_A5</t>
        </is>
      </c>
      <c r="C4" s="4" t="inlineStr">
        <is>
          <t>Organizacionales</t>
        </is>
      </c>
      <c r="D4" s="4" t="inlineStr">
        <is>
          <t>A.5.3</t>
        </is>
      </c>
      <c r="E4" s="5" t="inlineStr">
        <is>
          <t>Separación de funciones (segregación)</t>
        </is>
      </c>
      <c r="F4" s="5" t="inlineStr">
        <is>
          <t>Separa funciones y áreas de responsabilidad en conflicto para reducir fraude, error o elusión de controles.</t>
        </is>
      </c>
      <c r="G4" s="5" t="inlineStr">
        <is>
          <t>• Identificar actividades incompatibles (aprobar/ejecutar, solicitar/otorgar accesos, desarrollar/poner en prod)
• diseñar segregación
• configurar RBAC/PAM
• aplicar revisiones independientes
• definir controles compensatorios (logs/monitoreo) donde no sea posible segregar.</t>
        </is>
      </c>
      <c r="H4" s="4">
        <f>IF($I4="No aplicable","No","Sí")</f>
        <v/>
      </c>
      <c r="I4" s="6" t="n"/>
      <c r="J4" s="7" t="inlineStr"/>
      <c r="K4" s="7" t="inlineStr"/>
      <c r="L4" s="6" t="inlineStr"/>
      <c r="M4" s="6" t="inlineStr"/>
      <c r="N4" s="4">
        <f>IFERROR(VLOOKUP($M4,Riesgos!$A$2:$E$200,5,FALSE),"")</f>
        <v/>
      </c>
      <c r="O4" s="8" t="n"/>
      <c r="P4" s="8" t="n"/>
      <c r="Q4" s="9" t="n"/>
      <c r="R4" s="4">
        <f>IF($H4&lt;&gt;"Sí","",IF($I4="No implementado",IF(OR($N4="Muy alto",$N4="Alto"),"ALERTA ALTA","ALERTA"),IF(AND($I4="En proceso",OR($N4="Muy alto",$N4="Alto")),"EN PROCESO (riesgo alto)","")))</f>
        <v/>
      </c>
      <c r="S4" s="7" t="inlineStr"/>
    </row>
    <row r="5" ht="48" customHeight="1">
      <c r="A5" s="4" t="inlineStr">
        <is>
          <t>A.5</t>
        </is>
      </c>
      <c r="B5" s="4" t="inlineStr">
        <is>
          <t>DOM_A5</t>
        </is>
      </c>
      <c r="C5" s="4" t="inlineStr">
        <is>
          <t>Organizacionales</t>
        </is>
      </c>
      <c r="D5" s="4" t="inlineStr">
        <is>
          <t>A.5.4</t>
        </is>
      </c>
      <c r="E5" s="5" t="inlineStr">
        <is>
          <t>Responsabilidades de la gestión en SI</t>
        </is>
      </c>
      <c r="F5" s="5" t="inlineStr">
        <is>
          <t>La dirección impulsa el cumplimiento de políticas y procedimientos de seguridad; asegura que el personal conoce y aplica sus responsabilidades.</t>
        </is>
      </c>
      <c r="G5" s="5" t="inlineStr">
        <is>
          <t>• Incluir seguridad en objetivos de gestión
• exigir cumplimiento (onboarding antes de acceso)
• proveer recursos y tiempo
• asegurar capacitación continua
• establecer canal confidencial de reportes
• revisar cumplimiento y aplicar acciones correctivas.</t>
        </is>
      </c>
      <c r="H5" s="4">
        <f>IF($I5="No aplicable","No","Sí")</f>
        <v/>
      </c>
      <c r="I5" s="6" t="n"/>
      <c r="J5" s="7" t="inlineStr"/>
      <c r="K5" s="7" t="inlineStr"/>
      <c r="L5" s="6" t="inlineStr"/>
      <c r="M5" s="6" t="inlineStr"/>
      <c r="N5" s="4">
        <f>IFERROR(VLOOKUP($M5,Riesgos!$A$2:$E$200,5,FALSE),"")</f>
        <v/>
      </c>
      <c r="O5" s="8" t="n"/>
      <c r="P5" s="8" t="n"/>
      <c r="Q5" s="9" t="n"/>
      <c r="R5" s="4">
        <f>IF($H5&lt;&gt;"Sí","",IF($I5="No implementado",IF(OR($N5="Muy alto",$N5="Alto"),"ALERTA ALTA","ALERTA"),IF(AND($I5="En proceso",OR($N5="Muy alto",$N5="Alto")),"EN PROCESO (riesgo alto)","")))</f>
        <v/>
      </c>
      <c r="S5" s="7" t="inlineStr"/>
    </row>
    <row r="6" ht="48" customHeight="1">
      <c r="A6" s="4" t="inlineStr">
        <is>
          <t>A.5</t>
        </is>
      </c>
      <c r="B6" s="4" t="inlineStr">
        <is>
          <t>DOM_A5</t>
        </is>
      </c>
      <c r="C6" s="4" t="inlineStr">
        <is>
          <t>Organizacionales</t>
        </is>
      </c>
      <c r="D6" s="4" t="inlineStr">
        <is>
          <t>A.5.5</t>
        </is>
      </c>
      <c r="E6" s="5" t="inlineStr">
        <is>
          <t>Contacto y coordinación con autoridades</t>
        </is>
      </c>
      <c r="F6" s="5" t="inlineStr">
        <is>
          <t>Establece y mantiene contactos con autoridades relevantes (regulatorias, supervisión, fuerzas de orden, servicios críticos) para incidentes y continuidad.</t>
        </is>
      </c>
      <c r="G6" s="5" t="inlineStr">
        <is>
          <t>• Identificar autoridades aplicables
• mantener lista de contactos y criterios de activación
• definir responsables de contacto
• establecer procedimientos de notificación
• probar el mecanismo (simulacros)
• revisar contactos periódicamente.</t>
        </is>
      </c>
      <c r="H6" s="4">
        <f>IF($I6="No aplicable","No","Sí")</f>
        <v/>
      </c>
      <c r="I6" s="6" t="n"/>
      <c r="J6" s="7" t="inlineStr"/>
      <c r="K6" s="7" t="inlineStr"/>
      <c r="L6" s="6" t="inlineStr"/>
      <c r="M6" s="6" t="inlineStr"/>
      <c r="N6" s="4">
        <f>IFERROR(VLOOKUP($M6,Riesgos!$A$2:$E$200,5,FALSE),"")</f>
        <v/>
      </c>
      <c r="O6" s="8" t="n"/>
      <c r="P6" s="8" t="n"/>
      <c r="Q6" s="9" t="n"/>
      <c r="R6" s="4">
        <f>IF($H6&lt;&gt;"Sí","",IF($I6="No implementado",IF(OR($N6="Muy alto",$N6="Alto"),"ALERTA ALTA","ALERTA"),IF(AND($I6="En proceso",OR($N6="Muy alto",$N6="Alto")),"EN PROCESO (riesgo alto)","")))</f>
        <v/>
      </c>
      <c r="S6" s="7" t="inlineStr"/>
    </row>
    <row r="7" ht="48" customHeight="1">
      <c r="A7" s="4" t="inlineStr">
        <is>
          <t>A.5</t>
        </is>
      </c>
      <c r="B7" s="4" t="inlineStr">
        <is>
          <t>DOM_A5</t>
        </is>
      </c>
      <c r="C7" s="4" t="inlineStr">
        <is>
          <t>Organizacionales</t>
        </is>
      </c>
      <c r="D7" s="4" t="inlineStr">
        <is>
          <t>A.5.6</t>
        </is>
      </c>
      <c r="E7" s="5" t="inlineStr">
        <is>
          <t>Vínculo con grupos/foros especializados</t>
        </is>
      </c>
      <c r="F7" s="5" t="inlineStr">
        <is>
          <t>Mantiene contacto con foros y grupos especializados para compartir buenas prácticas y recibir alertas tempranas de amenazas/vulnerabilidades.</t>
        </is>
      </c>
      <c r="G7" s="5" t="inlineStr">
        <is>
          <t>• Seleccionar foros sectoriales/CERT/ISAC
• suscribir alertas
• definir proceso de distribución interna
• participar en sesiones
• registrar aprendizajes
• revisar utilidad y cobertura periódicamente.</t>
        </is>
      </c>
      <c r="H7" s="4">
        <f>IF($I7="No aplicable","No","Sí")</f>
        <v/>
      </c>
      <c r="I7" s="6" t="n"/>
      <c r="J7" s="7" t="inlineStr"/>
      <c r="K7" s="7" t="inlineStr"/>
      <c r="L7" s="6" t="inlineStr"/>
      <c r="M7" s="6" t="inlineStr"/>
      <c r="N7" s="4">
        <f>IFERROR(VLOOKUP($M7,Riesgos!$A$2:$E$200,5,FALSE),"")</f>
        <v/>
      </c>
      <c r="O7" s="8" t="n"/>
      <c r="P7" s="8" t="n"/>
      <c r="Q7" s="9" t="n"/>
      <c r="R7" s="4">
        <f>IF($H7&lt;&gt;"Sí","",IF($I7="No implementado",IF(OR($N7="Muy alto",$N7="Alto"),"ALERTA ALTA","ALERTA"),IF(AND($I7="En proceso",OR($N7="Muy alto",$N7="Alto")),"EN PROCESO (riesgo alto)","")))</f>
        <v/>
      </c>
      <c r="S7" s="7" t="inlineStr"/>
    </row>
    <row r="8" ht="48" customHeight="1">
      <c r="A8" s="4" t="inlineStr">
        <is>
          <t>A.5</t>
        </is>
      </c>
      <c r="B8" s="4" t="inlineStr">
        <is>
          <t>DOM_A5</t>
        </is>
      </c>
      <c r="C8" s="4" t="inlineStr">
        <is>
          <t>Organizacionales</t>
        </is>
      </c>
      <c r="D8" s="4" t="inlineStr">
        <is>
          <t>A.5.7</t>
        </is>
      </c>
      <c r="E8" s="5" t="inlineStr">
        <is>
          <t>Inteligencia de amenazas (recopilar/analizar)</t>
        </is>
      </c>
      <c r="F8" s="5" t="inlineStr">
        <is>
          <t>Recopila y analiza información de amenazas para producir inteligencia accionable y apoyar decisiones de riesgo y controles.</t>
        </is>
      </c>
      <c r="G8" s="5" t="inlineStr">
        <is>
          <t>• Definir objetivos de threat intel
• seleccionar fuentes (internas/externas)
• recolectar y procesar datos
• analizar (estratégico/táctico/operativo)
• integrar resultados en gestión de riesgos y controles
• comunicar a responsables y registrar acciones.</t>
        </is>
      </c>
      <c r="H8" s="4">
        <f>IF($I8="No aplicable","No","Sí")</f>
        <v/>
      </c>
      <c r="I8" s="6" t="n"/>
      <c r="J8" s="7" t="inlineStr"/>
      <c r="K8" s="7" t="inlineStr"/>
      <c r="L8" s="6" t="inlineStr"/>
      <c r="M8" s="6" t="inlineStr"/>
      <c r="N8" s="4">
        <f>IFERROR(VLOOKUP($M8,Riesgos!$A$2:$E$200,5,FALSE),"")</f>
        <v/>
      </c>
      <c r="O8" s="8" t="n"/>
      <c r="P8" s="8" t="n"/>
      <c r="Q8" s="9" t="n"/>
      <c r="R8" s="4">
        <f>IF($H8&lt;&gt;"Sí","",IF($I8="No implementado",IF(OR($N8="Muy alto",$N8="Alto"),"ALERTA ALTA","ALERTA"),IF(AND($I8="En proceso",OR($N8="Muy alto",$N8="Alto")),"EN PROCESO (riesgo alto)","")))</f>
        <v/>
      </c>
      <c r="S8" s="7" t="inlineStr"/>
    </row>
    <row r="9" ht="48" customHeight="1">
      <c r="A9" s="4" t="inlineStr">
        <is>
          <t>A.5</t>
        </is>
      </c>
      <c r="B9" s="4" t="inlineStr">
        <is>
          <t>DOM_A5</t>
        </is>
      </c>
      <c r="C9" s="4" t="inlineStr">
        <is>
          <t>Organizacionales</t>
        </is>
      </c>
      <c r="D9" s="4" t="inlineStr">
        <is>
          <t>A.5.8</t>
        </is>
      </c>
      <c r="E9" s="5" t="inlineStr">
        <is>
          <t>SI integrada en la gestión de proyectos</t>
        </is>
      </c>
      <c r="F9" s="5" t="inlineStr">
        <is>
          <t>Integra seguridad de la información en la gestión de proyectos y en los entregables durante todo el ciclo de vida.</t>
        </is>
      </c>
      <c r="G9" s="5" t="inlineStr">
        <is>
          <t>• Incluir checklist de seguridad en metodología
• ejecutar evaluación de riesgos del proyecto y del producto
• definir requisitos de seguridad
• incorporar gates/revisiones
• asignar roles de seguridad del proyecto
• validar controles en pruebas y aceptación.</t>
        </is>
      </c>
      <c r="H9" s="4">
        <f>IF($I9="No aplicable","No","Sí")</f>
        <v/>
      </c>
      <c r="I9" s="6" t="n"/>
      <c r="J9" s="7" t="inlineStr"/>
      <c r="K9" s="7" t="inlineStr"/>
      <c r="L9" s="6" t="inlineStr"/>
      <c r="M9" s="6" t="inlineStr"/>
      <c r="N9" s="4">
        <f>IFERROR(VLOOKUP($M9,Riesgos!$A$2:$E$200,5,FALSE),"")</f>
        <v/>
      </c>
      <c r="O9" s="8" t="n"/>
      <c r="P9" s="8" t="n"/>
      <c r="Q9" s="9" t="n"/>
      <c r="R9" s="4">
        <f>IF($H9&lt;&gt;"Sí","",IF($I9="No implementado",IF(OR($N9="Muy alto",$N9="Alto"),"ALERTA ALTA","ALERTA"),IF(AND($I9="En proceso",OR($N9="Muy alto",$N9="Alto")),"EN PROCESO (riesgo alto)","")))</f>
        <v/>
      </c>
      <c r="S9" s="7" t="inlineStr"/>
    </row>
    <row r="10" ht="48" customHeight="1">
      <c r="A10" s="4" t="inlineStr">
        <is>
          <t>A.5</t>
        </is>
      </c>
      <c r="B10" s="4" t="inlineStr">
        <is>
          <t>DOM_A5</t>
        </is>
      </c>
      <c r="C10" s="4" t="inlineStr">
        <is>
          <t>Organizacionales</t>
        </is>
      </c>
      <c r="D10" s="4" t="inlineStr">
        <is>
          <t>A.5.9</t>
        </is>
      </c>
      <c r="E10" s="5" t="inlineStr">
        <is>
          <t>Inventario de información y activos asociados</t>
        </is>
      </c>
      <c r="F10" s="5" t="inlineStr">
        <is>
          <t>Mantiene un inventario de información y activos asociados, incluyendo propietarios, ubicación y clasificación, actualizado y coherente.</t>
        </is>
      </c>
      <c r="G10" s="5" t="inlineStr">
        <is>
          <t>• Inventariar activos (info, HW, SW, VM, servicios)
• asignar propietarios
• registrar ubicación y dependencia
• clasificar según sensibilidad
• definir proceso de alta/cambio/baja que actualice inventario
• realizar revisiones periódicas.</t>
        </is>
      </c>
      <c r="H10" s="4">
        <f>IF($I10="No aplicable","No","Sí")</f>
        <v/>
      </c>
      <c r="I10" s="6" t="n"/>
      <c r="J10" s="7" t="inlineStr"/>
      <c r="K10" s="7" t="inlineStr"/>
      <c r="L10" s="6" t="inlineStr"/>
      <c r="M10" s="6" t="inlineStr"/>
      <c r="N10" s="4">
        <f>IFERROR(VLOOKUP($M10,Riesgos!$A$2:$E$200,5,FALSE),"")</f>
        <v/>
      </c>
      <c r="O10" s="8" t="n"/>
      <c r="P10" s="8" t="n"/>
      <c r="Q10" s="9" t="n"/>
      <c r="R10" s="4">
        <f>IF($H10&lt;&gt;"Sí","",IF($I10="No implementado",IF(OR($N10="Muy alto",$N10="Alto"),"ALERTA ALTA","ALERTA"),IF(AND($I10="En proceso",OR($N10="Muy alto",$N10="Alto")),"EN PROCESO (riesgo alto)","")))</f>
        <v/>
      </c>
      <c r="S10" s="7" t="inlineStr"/>
    </row>
    <row r="11" ht="48" customHeight="1">
      <c r="A11" s="4" t="inlineStr">
        <is>
          <t>A.5</t>
        </is>
      </c>
      <c r="B11" s="4" t="inlineStr">
        <is>
          <t>DOM_A5</t>
        </is>
      </c>
      <c r="C11" s="4" t="inlineStr">
        <is>
          <t>Organizacionales</t>
        </is>
      </c>
      <c r="D11" s="4" t="inlineStr">
        <is>
          <t>A.5.10</t>
        </is>
      </c>
      <c r="E11" s="5" t="inlineStr">
        <is>
          <t>Reglas de uso aceptable de activos</t>
        </is>
      </c>
      <c r="F11" s="5" t="inlineStr">
        <is>
          <t>Define reglas de uso aceptable y procedimientos de manejo de información y activos para prevenir uso indebido o inseguro.</t>
        </is>
      </c>
      <c r="G11" s="5" t="inlineStr">
        <is>
          <t>• Publicar norma de uso aceptable (equipos, correo, internet, nube)
• definir manejo por clasificación
• comunicar y obtener aceptación
• implementar controles técnicos (bloqueos, DLP básico)
• revisar cumplimiento e incidentes.</t>
        </is>
      </c>
      <c r="H11" s="4">
        <f>IF($I11="No aplicable","No","Sí")</f>
        <v/>
      </c>
      <c r="I11" s="6" t="n"/>
      <c r="J11" s="7" t="inlineStr"/>
      <c r="K11" s="7" t="inlineStr"/>
      <c r="L11" s="6" t="inlineStr"/>
      <c r="M11" s="6" t="inlineStr"/>
      <c r="N11" s="4">
        <f>IFERROR(VLOOKUP($M11,Riesgos!$A$2:$E$200,5,FALSE),"")</f>
        <v/>
      </c>
      <c r="O11" s="8" t="n"/>
      <c r="P11" s="8" t="n"/>
      <c r="Q11" s="9" t="n"/>
      <c r="R11" s="4">
        <f>IF($H11&lt;&gt;"Sí","",IF($I11="No implementado",IF(OR($N11="Muy alto",$N11="Alto"),"ALERTA ALTA","ALERTA"),IF(AND($I11="En proceso",OR($N11="Muy alto",$N11="Alto")),"EN PROCESO (riesgo alto)","")))</f>
        <v/>
      </c>
      <c r="S11" s="7" t="inlineStr"/>
    </row>
    <row r="12" ht="48" customHeight="1">
      <c r="A12" s="4" t="inlineStr">
        <is>
          <t>A.5</t>
        </is>
      </c>
      <c r="B12" s="4" t="inlineStr">
        <is>
          <t>DOM_A5</t>
        </is>
      </c>
      <c r="C12" s="4" t="inlineStr">
        <is>
          <t>Organizacionales</t>
        </is>
      </c>
      <c r="D12" s="4" t="inlineStr">
        <is>
          <t>A.5.11</t>
        </is>
      </c>
      <c r="E12" s="5" t="inlineStr">
        <is>
          <t>Devolución/retorno de activos</t>
        </is>
      </c>
      <c r="F12" s="5" t="inlineStr">
        <is>
          <t>Asegura el retorno de activos de la organización al término o cambio de relación laboral/contractual.</t>
        </is>
      </c>
      <c r="G12" s="5" t="inlineStr">
        <is>
          <t>• Definir lista de activos por rol
• ejecutar checklist de devolución (HW, credenciales, documentos)
• validar borrado/entrega de información
• registrar evidencia
• coordinar con RRHH y TI
• auditar el proceso.</t>
        </is>
      </c>
      <c r="H12" s="4">
        <f>IF($I12="No aplicable","No","Sí")</f>
        <v/>
      </c>
      <c r="I12" s="6" t="n"/>
      <c r="J12" s="7" t="inlineStr"/>
      <c r="K12" s="7" t="inlineStr"/>
      <c r="L12" s="6" t="inlineStr"/>
      <c r="M12" s="6" t="inlineStr"/>
      <c r="N12" s="4">
        <f>IFERROR(VLOOKUP($M12,Riesgos!$A$2:$E$200,5,FALSE),"")</f>
        <v/>
      </c>
      <c r="O12" s="8" t="n"/>
      <c r="P12" s="8" t="n"/>
      <c r="Q12" s="9" t="n"/>
      <c r="R12" s="4">
        <f>IF($H12&lt;&gt;"Sí","",IF($I12="No implementado",IF(OR($N12="Muy alto",$N12="Alto"),"ALERTA ALTA","ALERTA"),IF(AND($I12="En proceso",OR($N12="Muy alto",$N12="Alto")),"EN PROCESO (riesgo alto)","")))</f>
        <v/>
      </c>
      <c r="S12" s="7" t="inlineStr"/>
    </row>
    <row r="13" ht="48" customHeight="1">
      <c r="A13" s="4" t="inlineStr">
        <is>
          <t>A.5</t>
        </is>
      </c>
      <c r="B13" s="4" t="inlineStr">
        <is>
          <t>DOM_A5</t>
        </is>
      </c>
      <c r="C13" s="4" t="inlineStr">
        <is>
          <t>Organizacionales</t>
        </is>
      </c>
      <c r="D13" s="4" t="inlineStr">
        <is>
          <t>A.5.12</t>
        </is>
      </c>
      <c r="E13" s="5" t="inlineStr">
        <is>
          <t>Clasificación de la información</t>
        </is>
      </c>
      <c r="F13" s="5" t="inlineStr">
        <is>
          <t>Clasifica la información según criterios de confidencialidad, integridad y disponibilidad, y determina requisitos de protección.</t>
        </is>
      </c>
      <c r="G13" s="5" t="inlineStr">
        <is>
          <t>• Definir esquema de clasificación
• capacitar a usuarios
• clasificar información y activos
• asociar controles por nivel (cifrado, acceso, retención)
• revisar clasificación periódicamente
• integrar en procesos y herramientas.</t>
        </is>
      </c>
      <c r="H13" s="4">
        <f>IF($I13="No aplicable","No","Sí")</f>
        <v/>
      </c>
      <c r="I13" s="6" t="n"/>
      <c r="J13" s="7" t="inlineStr"/>
      <c r="K13" s="7" t="inlineStr"/>
      <c r="L13" s="6" t="inlineStr"/>
      <c r="M13" s="6" t="inlineStr"/>
      <c r="N13" s="4">
        <f>IFERROR(VLOOKUP($M13,Riesgos!$A$2:$E$200,5,FALSE),"")</f>
        <v/>
      </c>
      <c r="O13" s="8" t="n"/>
      <c r="P13" s="8" t="n"/>
      <c r="Q13" s="9" t="n"/>
      <c r="R13" s="4">
        <f>IF($H13&lt;&gt;"Sí","",IF($I13="No implementado",IF(OR($N13="Muy alto",$N13="Alto"),"ALERTA ALTA","ALERTA"),IF(AND($I13="En proceso",OR($N13="Muy alto",$N13="Alto")),"EN PROCESO (riesgo alto)","")))</f>
        <v/>
      </c>
      <c r="S13" s="7" t="inlineStr"/>
    </row>
    <row r="14" ht="48" customHeight="1">
      <c r="A14" s="4" t="inlineStr">
        <is>
          <t>A.5</t>
        </is>
      </c>
      <c r="B14" s="4" t="inlineStr">
        <is>
          <t>DOM_A5</t>
        </is>
      </c>
      <c r="C14" s="4" t="inlineStr">
        <is>
          <t>Organizacionales</t>
        </is>
      </c>
      <c r="D14" s="4" t="inlineStr">
        <is>
          <t>A.5.13</t>
        </is>
      </c>
      <c r="E14" s="5" t="inlineStr">
        <is>
          <t>Etiquetado/rotulado de la información</t>
        </is>
      </c>
      <c r="F14" s="5" t="inlineStr">
        <is>
          <t>Etiqueta información y activos asociados de acuerdo con su clasificación para facilitar el manejo correcto y consistente.</t>
        </is>
      </c>
      <c r="G14" s="5" t="inlineStr">
        <is>
          <t>• Definir estándar de etiquetado
• aplicar etiquetas en documentos/sistemas/medios
• configurar etiquetas en suites (M365/Google)
• establecer reglas de tratamiento por etiqueta
• controlar excepciones
• auditar uso.</t>
        </is>
      </c>
      <c r="H14" s="4">
        <f>IF($I14="No aplicable","No","Sí")</f>
        <v/>
      </c>
      <c r="I14" s="6" t="n"/>
      <c r="J14" s="7" t="inlineStr"/>
      <c r="K14" s="7" t="inlineStr"/>
      <c r="L14" s="6" t="inlineStr"/>
      <c r="M14" s="6" t="inlineStr"/>
      <c r="N14" s="4">
        <f>IFERROR(VLOOKUP($M14,Riesgos!$A$2:$E$200,5,FALSE),"")</f>
        <v/>
      </c>
      <c r="O14" s="8" t="n"/>
      <c r="P14" s="8" t="n"/>
      <c r="Q14" s="9" t="n"/>
      <c r="R14" s="4">
        <f>IF($H14&lt;&gt;"Sí","",IF($I14="No implementado",IF(OR($N14="Muy alto",$N14="Alto"),"ALERTA ALTA","ALERTA"),IF(AND($I14="En proceso",OR($N14="Muy alto",$N14="Alto")),"EN PROCESO (riesgo alto)","")))</f>
        <v/>
      </c>
      <c r="S14" s="7" t="inlineStr"/>
    </row>
    <row r="15" ht="48" customHeight="1">
      <c r="A15" s="4" t="inlineStr">
        <is>
          <t>A.5</t>
        </is>
      </c>
      <c r="B15" s="4" t="inlineStr">
        <is>
          <t>DOM_A5</t>
        </is>
      </c>
      <c r="C15" s="4" t="inlineStr">
        <is>
          <t>Organizacionales</t>
        </is>
      </c>
      <c r="D15" s="4" t="inlineStr">
        <is>
          <t>A.5.14</t>
        </is>
      </c>
      <c r="E15" s="5" t="inlineStr">
        <is>
          <t>Transferencia segura de información</t>
        </is>
      </c>
      <c r="F15" s="5" t="inlineStr">
        <is>
          <t>Controla la transferencia de información (interna/externa) con reglas, canales y acuerdos que preserven confidencialidad, integridad y disponibilidad.</t>
        </is>
      </c>
      <c r="G15" s="5" t="inlineStr">
        <is>
          <t>• Definir canales autorizados (VPN, SFTP, cifrado)
• establecer acuerdos de transferencia y NDA
• aplicar cifrado y firmas cuando corresponda
• registrar transferencias sensibles
• revisar incidentes de fuga
• actualizar reglas.</t>
        </is>
      </c>
      <c r="H15" s="4">
        <f>IF($I15="No aplicable","No","Sí")</f>
        <v/>
      </c>
      <c r="I15" s="6" t="n"/>
      <c r="J15" s="7" t="inlineStr"/>
      <c r="K15" s="7" t="inlineStr"/>
      <c r="L15" s="6" t="inlineStr"/>
      <c r="M15" s="6" t="inlineStr"/>
      <c r="N15" s="4">
        <f>IFERROR(VLOOKUP($M15,Riesgos!$A$2:$E$200,5,FALSE),"")</f>
        <v/>
      </c>
      <c r="O15" s="8" t="n"/>
      <c r="P15" s="8" t="n"/>
      <c r="Q15" s="9" t="n"/>
      <c r="R15" s="4">
        <f>IF($H15&lt;&gt;"Sí","",IF($I15="No implementado",IF(OR($N15="Muy alto",$N15="Alto"),"ALERTA ALTA","ALERTA"),IF(AND($I15="En proceso",OR($N15="Muy alto",$N15="Alto")),"EN PROCESO (riesgo alto)","")))</f>
        <v/>
      </c>
      <c r="S15" s="7" t="inlineStr"/>
    </row>
    <row r="16" ht="48" customHeight="1">
      <c r="A16" s="4" t="inlineStr">
        <is>
          <t>A.5</t>
        </is>
      </c>
      <c r="B16" s="4" t="inlineStr">
        <is>
          <t>DOM_A5</t>
        </is>
      </c>
      <c r="C16" s="4" t="inlineStr">
        <is>
          <t>Organizacionales</t>
        </is>
      </c>
      <c r="D16" s="4" t="inlineStr">
        <is>
          <t>A.5.15</t>
        </is>
      </c>
      <c r="E16" s="5" t="inlineStr">
        <is>
          <t>Gestión de control de acceso (política y aplicación)</t>
        </is>
      </c>
      <c r="F16" s="5" t="inlineStr">
        <is>
          <t>Establece una política y controles de acceso para asegurar que el acceso sea autorizado y acorde a las necesidades del negocio.</t>
        </is>
      </c>
      <c r="G16" s="5" t="inlineStr">
        <is>
          <t>• Definir política (mínimo privilegio, need-to-know)
• segmentar recursos
• implementar mecanismos de autorización
• documentar excepciones
• revisar accesos periódicamente
• monitorear intentos y anomalías.</t>
        </is>
      </c>
      <c r="H16" s="4">
        <f>IF($I16="No aplicable","No","Sí")</f>
        <v/>
      </c>
      <c r="I16" s="6" t="n"/>
      <c r="J16" s="7" t="inlineStr"/>
      <c r="K16" s="7" t="inlineStr"/>
      <c r="L16" s="6" t="inlineStr"/>
      <c r="M16" s="6" t="inlineStr"/>
      <c r="N16" s="4">
        <f>IFERROR(VLOOKUP($M16,Riesgos!$A$2:$E$200,5,FALSE),"")</f>
        <v/>
      </c>
      <c r="O16" s="8" t="n"/>
      <c r="P16" s="8" t="n"/>
      <c r="Q16" s="9" t="n"/>
      <c r="R16" s="4">
        <f>IF($H16&lt;&gt;"Sí","",IF($I16="No implementado",IF(OR($N16="Muy alto",$N16="Alto"),"ALERTA ALTA","ALERTA"),IF(AND($I16="En proceso",OR($N16="Muy alto",$N16="Alto")),"EN PROCESO (riesgo alto)","")))</f>
        <v/>
      </c>
      <c r="S16" s="7" t="inlineStr"/>
    </row>
    <row r="17" ht="48" customHeight="1">
      <c r="A17" s="4" t="inlineStr">
        <is>
          <t>A.5</t>
        </is>
      </c>
      <c r="B17" s="4" t="inlineStr">
        <is>
          <t>DOM_A5</t>
        </is>
      </c>
      <c r="C17" s="4" t="inlineStr">
        <is>
          <t>Organizacionales</t>
        </is>
      </c>
      <c r="D17" s="4" t="inlineStr">
        <is>
          <t>A.5.16</t>
        </is>
      </c>
      <c r="E17" s="5" t="inlineStr">
        <is>
          <t>Gestión de identidades (IAM)</t>
        </is>
      </c>
      <c r="F17" s="5" t="inlineStr">
        <is>
          <t>Gestiona el ciclo de vida de identidades (alta, cambios, baja) para usuarios y cuentas no humanas, asegurando unicidad y trazabilidad.</t>
        </is>
      </c>
      <c r="G17" s="5" t="inlineStr">
        <is>
          <t>• Definir procesos JML (Joiner-Mover-Leaver)
• integrar con directorio/IAM
• asignar identificadores únicos
• controlar cuentas de servicio
• revisar cuentas inactivas
• evidenciar aprobaciones.</t>
        </is>
      </c>
      <c r="H17" s="4">
        <f>IF($I17="No aplicable","No","Sí")</f>
        <v/>
      </c>
      <c r="I17" s="6" t="n"/>
      <c r="J17" s="7" t="inlineStr"/>
      <c r="K17" s="7" t="inlineStr"/>
      <c r="L17" s="6" t="inlineStr"/>
      <c r="M17" s="6" t="inlineStr"/>
      <c r="N17" s="4">
        <f>IFERROR(VLOOKUP($M17,Riesgos!$A$2:$E$200,5,FALSE),"")</f>
        <v/>
      </c>
      <c r="O17" s="8" t="n"/>
      <c r="P17" s="8" t="n"/>
      <c r="Q17" s="9" t="n"/>
      <c r="R17" s="4">
        <f>IF($H17&lt;&gt;"Sí","",IF($I17="No implementado",IF(OR($N17="Muy alto",$N17="Alto"),"ALERTA ALTA","ALERTA"),IF(AND($I17="En proceso",OR($N17="Muy alto",$N17="Alto")),"EN PROCESO (riesgo alto)","")))</f>
        <v/>
      </c>
      <c r="S17" s="7" t="inlineStr"/>
    </row>
    <row r="18" ht="48" customHeight="1">
      <c r="A18" s="4" t="inlineStr">
        <is>
          <t>A.5</t>
        </is>
      </c>
      <c r="B18" s="4" t="inlineStr">
        <is>
          <t>DOM_A5</t>
        </is>
      </c>
      <c r="C18" s="4" t="inlineStr">
        <is>
          <t>Organizacionales</t>
        </is>
      </c>
      <c r="D18" s="4" t="inlineStr">
        <is>
          <t>A.5.17</t>
        </is>
      </c>
      <c r="E18" s="5" t="inlineStr">
        <is>
          <t>Gestión de información de autenticación (credenciales)</t>
        </is>
      </c>
      <c r="F18" s="5" t="inlineStr">
        <is>
          <t>Protege la información de autenticación (contraseñas, tokens, claves) en su creación, distribución, almacenamiento, uso y recuperación.</t>
        </is>
      </c>
      <c r="G18" s="5" t="inlineStr">
        <is>
          <t>• Definir políticas de credenciales
• usar mecanismos seguros de provisión y reset
• almacenar hashes/secretos en bóveda
• aplicar MFA donde aplique
• rotar secretos
• registrar incidentes de compromiso.</t>
        </is>
      </c>
      <c r="H18" s="4">
        <f>IF($I18="No aplicable","No","Sí")</f>
        <v/>
      </c>
      <c r="I18" s="6" t="n"/>
      <c r="J18" s="7" t="inlineStr"/>
      <c r="K18" s="7" t="inlineStr"/>
      <c r="L18" s="6" t="inlineStr"/>
      <c r="M18" s="6" t="inlineStr"/>
      <c r="N18" s="4">
        <f>IFERROR(VLOOKUP($M18,Riesgos!$A$2:$E$200,5,FALSE),"")</f>
        <v/>
      </c>
      <c r="O18" s="8" t="n"/>
      <c r="P18" s="8" t="n"/>
      <c r="Q18" s="9" t="n"/>
      <c r="R18" s="4">
        <f>IF($H18&lt;&gt;"Sí","",IF($I18="No implementado",IF(OR($N18="Muy alto",$N18="Alto"),"ALERTA ALTA","ALERTA"),IF(AND($I18="En proceso",OR($N18="Muy alto",$N18="Alto")),"EN PROCESO (riesgo alto)","")))</f>
        <v/>
      </c>
      <c r="S18" s="7" t="inlineStr"/>
    </row>
    <row r="19" ht="48" customHeight="1">
      <c r="A19" s="4" t="inlineStr">
        <is>
          <t>A.5</t>
        </is>
      </c>
      <c r="B19" s="4" t="inlineStr">
        <is>
          <t>DOM_A5</t>
        </is>
      </c>
      <c r="C19" s="4" t="inlineStr">
        <is>
          <t>Organizacionales</t>
        </is>
      </c>
      <c r="D19" s="4" t="inlineStr">
        <is>
          <t>A.5.18</t>
        </is>
      </c>
      <c r="E19" s="5" t="inlineStr">
        <is>
          <t>Administración de derechos de acceso</t>
        </is>
      </c>
      <c r="F19" s="5" t="inlineStr">
        <is>
          <t>Gestiona derechos de acceso: provisión, modificación, revisión y revocación con aprobaciones y trazabilidad.</t>
        </is>
      </c>
      <c r="G19" s="5" t="inlineStr">
        <is>
          <t>• Establecer workflow de solicitudes
• requerir aprobación del dueño
• aplicar recertificación periódica
• retirar accesos tras cambios/baja
• registrar evidencias
• revisar accesos privilegiados con mayor frecuencia.</t>
        </is>
      </c>
      <c r="H19" s="4">
        <f>IF($I19="No aplicable","No","Sí")</f>
        <v/>
      </c>
      <c r="I19" s="6" t="n"/>
      <c r="J19" s="7" t="inlineStr"/>
      <c r="K19" s="7" t="inlineStr"/>
      <c r="L19" s="6" t="inlineStr"/>
      <c r="M19" s="6" t="inlineStr"/>
      <c r="N19" s="4">
        <f>IFERROR(VLOOKUP($M19,Riesgos!$A$2:$E$200,5,FALSE),"")</f>
        <v/>
      </c>
      <c r="O19" s="8" t="n"/>
      <c r="P19" s="8" t="n"/>
      <c r="Q19" s="9" t="n"/>
      <c r="R19" s="4">
        <f>IF($H19&lt;&gt;"Sí","",IF($I19="No implementado",IF(OR($N19="Muy alto",$N19="Alto"),"ALERTA ALTA","ALERTA"),IF(AND($I19="En proceso",OR($N19="Muy alto",$N19="Alto")),"EN PROCESO (riesgo alto)","")))</f>
        <v/>
      </c>
      <c r="S19" s="7" t="inlineStr"/>
    </row>
    <row r="20" ht="48" customHeight="1">
      <c r="A20" s="4" t="inlineStr">
        <is>
          <t>A.5</t>
        </is>
      </c>
      <c r="B20" s="4" t="inlineStr">
        <is>
          <t>DOM_A5</t>
        </is>
      </c>
      <c r="C20" s="4" t="inlineStr">
        <is>
          <t>Organizacionales</t>
        </is>
      </c>
      <c r="D20" s="4" t="inlineStr">
        <is>
          <t>A.5.19</t>
        </is>
      </c>
      <c r="E20" s="5" t="inlineStr">
        <is>
          <t>Seguridad en la relación con proveedores</t>
        </is>
      </c>
      <c r="F20" s="5" t="inlineStr">
        <is>
          <t>Gestiona la seguridad en relaciones con proveedores y terceros que acceden o procesan información/servicios de la organización.</t>
        </is>
      </c>
      <c r="G20" s="5" t="inlineStr">
        <is>
          <t>• Clasificar proveedores por criticidad
• evaluar riesgos de terceros
• definir requisitos mínimos
• registrar responsables internos
• monitorear cumplimiento
• mantener inventario de terceros y servicios.</t>
        </is>
      </c>
      <c r="H20" s="4">
        <f>IF($I20="No aplicable","No","Sí")</f>
        <v/>
      </c>
      <c r="I20" s="6" t="n"/>
      <c r="J20" s="7" t="inlineStr"/>
      <c r="K20" s="7" t="inlineStr"/>
      <c r="L20" s="6" t="inlineStr"/>
      <c r="M20" s="6" t="inlineStr"/>
      <c r="N20" s="4">
        <f>IFERROR(VLOOKUP($M20,Riesgos!$A$2:$E$200,5,FALSE),"")</f>
        <v/>
      </c>
      <c r="O20" s="8" t="n"/>
      <c r="P20" s="8" t="n"/>
      <c r="Q20" s="9" t="n"/>
      <c r="R20" s="4">
        <f>IF($H20&lt;&gt;"Sí","",IF($I20="No implementado",IF(OR($N20="Muy alto",$N20="Alto"),"ALERTA ALTA","ALERTA"),IF(AND($I20="En proceso",OR($N20="Muy alto",$N20="Alto")),"EN PROCESO (riesgo alto)","")))</f>
        <v/>
      </c>
      <c r="S20" s="7" t="inlineStr"/>
    </row>
    <row r="21" ht="48" customHeight="1">
      <c r="A21" s="4" t="inlineStr">
        <is>
          <t>A.5</t>
        </is>
      </c>
      <c r="B21" s="4" t="inlineStr">
        <is>
          <t>DOM_A5</t>
        </is>
      </c>
      <c r="C21" s="4" t="inlineStr">
        <is>
          <t>Organizacionales</t>
        </is>
      </c>
      <c r="D21" s="4" t="inlineStr">
        <is>
          <t>A.5.20</t>
        </is>
      </c>
      <c r="E21" s="5" t="inlineStr">
        <is>
          <t>Seguridad en acuerdos con proveedores</t>
        </is>
      </c>
      <c r="F21" s="5" t="inlineStr">
        <is>
          <t>Incorpora requisitos de seguridad en acuerdos con proveedores (contratos/SLA) incluyendo responsabilidades, reporte de incidentes y derechos de auditoría.</t>
        </is>
      </c>
      <c r="G21" s="5" t="inlineStr">
        <is>
          <t>• Incluir cláusulas de seguridad y privacidad
• definir SLA y métricas
• exigir notificación de incidentes
• definir subprocesadores
• acordar controles mínimos
• documentar derecho de auditoría y terminación/retorno de datos.</t>
        </is>
      </c>
      <c r="H21" s="4">
        <f>IF($I21="No aplicable","No","Sí")</f>
        <v/>
      </c>
      <c r="I21" s="6" t="n"/>
      <c r="J21" s="7" t="inlineStr"/>
      <c r="K21" s="7" t="inlineStr"/>
      <c r="L21" s="6" t="inlineStr"/>
      <c r="M21" s="6" t="inlineStr"/>
      <c r="N21" s="4">
        <f>IFERROR(VLOOKUP($M21,Riesgos!$A$2:$E$200,5,FALSE),"")</f>
        <v/>
      </c>
      <c r="O21" s="8" t="n"/>
      <c r="P21" s="8" t="n"/>
      <c r="Q21" s="9" t="n"/>
      <c r="R21" s="4">
        <f>IF($H21&lt;&gt;"Sí","",IF($I21="No implementado",IF(OR($N21="Muy alto",$N21="Alto"),"ALERTA ALTA","ALERTA"),IF(AND($I21="En proceso",OR($N21="Muy alto",$N21="Alto")),"EN PROCESO (riesgo alto)","")))</f>
        <v/>
      </c>
      <c r="S21" s="7" t="inlineStr"/>
    </row>
    <row r="22" ht="48" customHeight="1">
      <c r="A22" s="4" t="inlineStr">
        <is>
          <t>A.5</t>
        </is>
      </c>
      <c r="B22" s="4" t="inlineStr">
        <is>
          <t>DOM_A5</t>
        </is>
      </c>
      <c r="C22" s="4" t="inlineStr">
        <is>
          <t>Organizacionales</t>
        </is>
      </c>
      <c r="D22" s="4" t="inlineStr">
        <is>
          <t>A.5.21</t>
        </is>
      </c>
      <c r="E22" s="5" t="inlineStr">
        <is>
          <t>Gestión de seguridad en cadena de suministro TIC</t>
        </is>
      </c>
      <c r="F22" s="5" t="inlineStr">
        <is>
          <t>Gestiona riesgos de la cadena de suministro TIC (hardware, software, servicios) considerando integridad de componentes y dependencias.</t>
        </is>
      </c>
      <c r="G22" s="5" t="inlineStr">
        <is>
          <t>• Mapear cadena de suministro TIC
• exigir SBOM/controles de integridad cuando aplique
• evaluar proveedores críticos
• controlar cambios de componentes
• monitorear alertas (vulns/supply chain)
• definir plan de respuesta.</t>
        </is>
      </c>
      <c r="H22" s="4">
        <f>IF($I22="No aplicable","No","Sí")</f>
        <v/>
      </c>
      <c r="I22" s="6" t="n"/>
      <c r="J22" s="7" t="inlineStr"/>
      <c r="K22" s="7" t="inlineStr"/>
      <c r="L22" s="6" t="inlineStr"/>
      <c r="M22" s="6" t="inlineStr"/>
      <c r="N22" s="4">
        <f>IFERROR(VLOOKUP($M22,Riesgos!$A$2:$E$200,5,FALSE),"")</f>
        <v/>
      </c>
      <c r="O22" s="8" t="n"/>
      <c r="P22" s="8" t="n"/>
      <c r="Q22" s="9" t="n"/>
      <c r="R22" s="4">
        <f>IF($H22&lt;&gt;"Sí","",IF($I22="No implementado",IF(OR($N22="Muy alto",$N22="Alto"),"ALERTA ALTA","ALERTA"),IF(AND($I22="En proceso",OR($N22="Muy alto",$N22="Alto")),"EN PROCESO (riesgo alto)","")))</f>
        <v/>
      </c>
      <c r="S22" s="7" t="inlineStr"/>
    </row>
    <row r="23" ht="48" customHeight="1">
      <c r="A23" s="4" t="inlineStr">
        <is>
          <t>A.5</t>
        </is>
      </c>
      <c r="B23" s="4" t="inlineStr">
        <is>
          <t>DOM_A5</t>
        </is>
      </c>
      <c r="C23" s="4" t="inlineStr">
        <is>
          <t>Organizacionales</t>
        </is>
      </c>
      <c r="D23" s="4" t="inlineStr">
        <is>
          <t>A.5.22</t>
        </is>
      </c>
      <c r="E23" s="5" t="inlineStr">
        <is>
          <t>Supervisión, revisión y cambios de servicios del proveedor</t>
        </is>
      </c>
      <c r="F23" s="5" t="inlineStr">
        <is>
          <t>Monitorea, revisa y gestiona cambios en servicios de proveedores para asegurar que continúan cumpliendo requisitos de seguridad.</t>
        </is>
      </c>
      <c r="G23" s="5" t="inlineStr">
        <is>
          <t>• Definir revisiones periódicas
• medir SLA/controles
• gestionar cambios (avisos, evaluación de impacto)
• revisar reportes de auditoría del proveedor
• registrar no conformidades
• ejecutar planes de mejora.</t>
        </is>
      </c>
      <c r="H23" s="4">
        <f>IF($I23="No aplicable","No","Sí")</f>
        <v/>
      </c>
      <c r="I23" s="6" t="n"/>
      <c r="J23" s="7" t="inlineStr"/>
      <c r="K23" s="7" t="inlineStr"/>
      <c r="L23" s="6" t="inlineStr"/>
      <c r="M23" s="6" t="inlineStr"/>
      <c r="N23" s="4">
        <f>IFERROR(VLOOKUP($M23,Riesgos!$A$2:$E$200,5,FALSE),"")</f>
        <v/>
      </c>
      <c r="O23" s="8" t="n"/>
      <c r="P23" s="8" t="n"/>
      <c r="Q23" s="9" t="n"/>
      <c r="R23" s="4">
        <f>IF($H23&lt;&gt;"Sí","",IF($I23="No implementado",IF(OR($N23="Muy alto",$N23="Alto"),"ALERTA ALTA","ALERTA"),IF(AND($I23="En proceso",OR($N23="Muy alto",$N23="Alto")),"EN PROCESO (riesgo alto)","")))</f>
        <v/>
      </c>
      <c r="S23" s="7" t="inlineStr"/>
    </row>
    <row r="24" ht="48" customHeight="1">
      <c r="A24" s="4" t="inlineStr">
        <is>
          <t>A.5</t>
        </is>
      </c>
      <c r="B24" s="4" t="inlineStr">
        <is>
          <t>DOM_A5</t>
        </is>
      </c>
      <c r="C24" s="4" t="inlineStr">
        <is>
          <t>Organizacionales</t>
        </is>
      </c>
      <c r="D24" s="4" t="inlineStr">
        <is>
          <t>A.5.23</t>
        </is>
      </c>
      <c r="E24" s="5" t="inlineStr">
        <is>
          <t>Seguridad para uso de servicios en la nube</t>
        </is>
      </c>
      <c r="F24" s="5" t="inlineStr">
        <is>
          <t>Asegura el uso seguro de servicios en la nube, incluyendo gobierno, configuración segura y responsabilidades compartidas.</t>
        </is>
      </c>
      <c r="G24" s="5" t="inlineStr">
        <is>
          <t>• Definir política de uso de nube
• evaluar proveedor y modelo de responsabilidad
• configurar controles base (IAM, logging, cifrado)
• revisar postura (CSPM si aplica)
• definir plan de salida/portabilidad
• gestionar accesos y datos.</t>
        </is>
      </c>
      <c r="H24" s="4">
        <f>IF($I24="No aplicable","No","Sí")</f>
        <v/>
      </c>
      <c r="I24" s="6" t="inlineStr">
        <is>
          <t>En proceso</t>
        </is>
      </c>
      <c r="J24" s="7" t="inlineStr">
        <is>
          <t>Definir criterios de seguridad para proveedores cloud; evaluación de configuración y acuerdos.</t>
        </is>
      </c>
      <c r="K24" s="7" t="inlineStr">
        <is>
          <t>Checklist cloud; contrato con cláusulas SI; baseline CIS (si aplica).</t>
        </is>
      </c>
      <c r="L24" s="6" t="inlineStr">
        <is>
          <t>TI / Seguridad</t>
        </is>
      </c>
      <c r="M24" s="6" t="inlineStr">
        <is>
          <t>R-005</t>
        </is>
      </c>
      <c r="N24" s="4">
        <f>IFERROR(VLOOKUP($M24,Riesgos!$A$2:$E$200,5,FALSE),"")</f>
        <v/>
      </c>
      <c r="O24" s="8" t="n">
        <v>46112</v>
      </c>
      <c r="P24" s="8" t="n">
        <v>46001</v>
      </c>
      <c r="Q24" s="9" t="n">
        <v>0.4</v>
      </c>
      <c r="R24" s="4">
        <f>IF($H24&lt;&gt;"Sí","",IF($I24="No implementado",IF(OR($N24="Muy alto",$N24="Alto"),"ALERTA ALTA","ALERTA"),IF(AND($I24="En proceso",OR($N24="Muy alto",$N24="Alto")),"EN PROCESO (riesgo alto)","")))</f>
        <v/>
      </c>
      <c r="S24" s="7" t="inlineStr"/>
    </row>
    <row r="25" ht="48" customHeight="1">
      <c r="A25" s="4" t="inlineStr">
        <is>
          <t>A.5</t>
        </is>
      </c>
      <c r="B25" s="4" t="inlineStr">
        <is>
          <t>DOM_A5</t>
        </is>
      </c>
      <c r="C25" s="4" t="inlineStr">
        <is>
          <t>Organizacionales</t>
        </is>
      </c>
      <c r="D25" s="4" t="inlineStr">
        <is>
          <t>A.5.24</t>
        </is>
      </c>
      <c r="E25" s="5" t="inlineStr">
        <is>
          <t>Planificación y preparación para incidentes de SI</t>
        </is>
      </c>
      <c r="F25" s="5" t="inlineStr">
        <is>
          <t>Planifica y prepara la gestión de incidentes: procesos, roles, herramientas, comunicación y entrenamiento.</t>
        </is>
      </c>
      <c r="G25" s="5" t="inlineStr">
        <is>
          <t>• Definir plan IR y playbooks
• asignar roles (IR lead, comunicaciones, legal)
• preparar herramientas (ticketing, forense)
• entrenar y hacer ejercicios
• definir escalamiento
• mantener lista de contactos y plantillas.</t>
        </is>
      </c>
      <c r="H25" s="4">
        <f>IF($I25="No aplicable","No","Sí")</f>
        <v/>
      </c>
      <c r="I25" s="6" t="n"/>
      <c r="J25" s="7" t="inlineStr"/>
      <c r="K25" s="7" t="inlineStr"/>
      <c r="L25" s="6" t="inlineStr"/>
      <c r="M25" s="6" t="inlineStr"/>
      <c r="N25" s="4">
        <f>IFERROR(VLOOKUP($M25,Riesgos!$A$2:$E$200,5,FALSE),"")</f>
        <v/>
      </c>
      <c r="O25" s="8" t="n"/>
      <c r="P25" s="8" t="n"/>
      <c r="Q25" s="9" t="n"/>
      <c r="R25" s="4">
        <f>IF($H25&lt;&gt;"Sí","",IF($I25="No implementado",IF(OR($N25="Muy alto",$N25="Alto"),"ALERTA ALTA","ALERTA"),IF(AND($I25="En proceso",OR($N25="Muy alto",$N25="Alto")),"EN PROCESO (riesgo alto)","")))</f>
        <v/>
      </c>
      <c r="S25" s="7" t="inlineStr"/>
    </row>
    <row r="26" ht="48" customHeight="1">
      <c r="A26" s="4" t="inlineStr">
        <is>
          <t>A.5</t>
        </is>
      </c>
      <c r="B26" s="4" t="inlineStr">
        <is>
          <t>DOM_A5</t>
        </is>
      </c>
      <c r="C26" s="4" t="inlineStr">
        <is>
          <t>Organizacionales</t>
        </is>
      </c>
      <c r="D26" s="4" t="inlineStr">
        <is>
          <t>A.5.25</t>
        </is>
      </c>
      <c r="E26" s="5" t="inlineStr">
        <is>
          <t>Evaluación y decisión sobre eventos de SI</t>
        </is>
      </c>
      <c r="F26" s="5" t="inlineStr">
        <is>
          <t>Evalúa y decide sobre eventos de seguridad: clasificación, priorización y escalamiento oportuno.</t>
        </is>
      </c>
      <c r="G26" s="5" t="inlineStr">
        <is>
          <t>• Definir criterios de clasificación
• establecer triage 24/7 o ventanas
• registrar eventos
• correlacionar y validar
• decidir si es incidente
• notificar a responsables
• medir tiempos de respuesta.</t>
        </is>
      </c>
      <c r="H26" s="4">
        <f>IF($I26="No aplicable","No","Sí")</f>
        <v/>
      </c>
      <c r="I26" s="6" t="n"/>
      <c r="J26" s="7" t="inlineStr"/>
      <c r="K26" s="7" t="inlineStr"/>
      <c r="L26" s="6" t="inlineStr"/>
      <c r="M26" s="6" t="inlineStr"/>
      <c r="N26" s="4">
        <f>IFERROR(VLOOKUP($M26,Riesgos!$A$2:$E$200,5,FALSE),"")</f>
        <v/>
      </c>
      <c r="O26" s="8" t="n"/>
      <c r="P26" s="8" t="n"/>
      <c r="Q26" s="9" t="n"/>
      <c r="R26" s="4">
        <f>IF($H26&lt;&gt;"Sí","",IF($I26="No implementado",IF(OR($N26="Muy alto",$N26="Alto"),"ALERTA ALTA","ALERTA"),IF(AND($I26="En proceso",OR($N26="Muy alto",$N26="Alto")),"EN PROCESO (riesgo alto)","")))</f>
        <v/>
      </c>
      <c r="S26" s="7" t="inlineStr"/>
    </row>
    <row r="27" ht="48" customHeight="1">
      <c r="A27" s="4" t="inlineStr">
        <is>
          <t>A.5</t>
        </is>
      </c>
      <c r="B27" s="4" t="inlineStr">
        <is>
          <t>DOM_A5</t>
        </is>
      </c>
      <c r="C27" s="4" t="inlineStr">
        <is>
          <t>Organizacionales</t>
        </is>
      </c>
      <c r="D27" s="4" t="inlineStr">
        <is>
          <t>A.5.26</t>
        </is>
      </c>
      <c r="E27" s="5" t="inlineStr">
        <is>
          <t>Respuesta a incidentes de SI</t>
        </is>
      </c>
      <c r="F27" s="5" t="inlineStr">
        <is>
          <t>Responde a incidentes de seguridad con acciones coordinadas de contención, erradicación, recuperación y comunicación.</t>
        </is>
      </c>
      <c r="G27" s="5" t="inlineStr">
        <is>
          <t>• Activar playbook
• contener (aislar, bloquear)
• preservar evidencias
• erradicar causa raíz
• recuperar servicios/datos
• comunicar a stakeholders
• documentar cronología y acciones
• cerrar con reporte.</t>
        </is>
      </c>
      <c r="H27" s="4">
        <f>IF($I27="No aplicable","No","Sí")</f>
        <v/>
      </c>
      <c r="I27" s="6" t="n"/>
      <c r="J27" s="7" t="inlineStr"/>
      <c r="K27" s="7" t="inlineStr"/>
      <c r="L27" s="6" t="inlineStr"/>
      <c r="M27" s="6" t="inlineStr"/>
      <c r="N27" s="4">
        <f>IFERROR(VLOOKUP($M27,Riesgos!$A$2:$E$200,5,FALSE),"")</f>
        <v/>
      </c>
      <c r="O27" s="8" t="n"/>
      <c r="P27" s="8" t="n"/>
      <c r="Q27" s="9" t="n"/>
      <c r="R27" s="4">
        <f>IF($H27&lt;&gt;"Sí","",IF($I27="No implementado",IF(OR($N27="Muy alto",$N27="Alto"),"ALERTA ALTA","ALERTA"),IF(AND($I27="En proceso",OR($N27="Muy alto",$N27="Alto")),"EN PROCESO (riesgo alto)","")))</f>
        <v/>
      </c>
      <c r="S27" s="7" t="inlineStr"/>
    </row>
    <row r="28" ht="48" customHeight="1">
      <c r="A28" s="4" t="inlineStr">
        <is>
          <t>A.5</t>
        </is>
      </c>
      <c r="B28" s="4" t="inlineStr">
        <is>
          <t>DOM_A5</t>
        </is>
      </c>
      <c r="C28" s="4" t="inlineStr">
        <is>
          <t>Organizacionales</t>
        </is>
      </c>
      <c r="D28" s="4" t="inlineStr">
        <is>
          <t>A.5.27</t>
        </is>
      </c>
      <c r="E28" s="5" t="inlineStr">
        <is>
          <t>Lecciones aprendidas de incidentes</t>
        </is>
      </c>
      <c r="F28" s="5" t="inlineStr">
        <is>
          <t>Aprende de los incidentes: análisis post-mortem, lecciones aprendidas y mejoras en controles y procesos.</t>
        </is>
      </c>
      <c r="G28" s="5" t="inlineStr">
        <is>
          <t>• Realizar post-incident review
• identificar fallas y oportunidades
• actualizar riesgos/controles/políticas
• ejecutar acciones correctivas
• compartir aprendizajes
• medir recurrencia y eficacia.</t>
        </is>
      </c>
      <c r="H28" s="4">
        <f>IF($I28="No aplicable","No","Sí")</f>
        <v/>
      </c>
      <c r="I28" s="6" t="n"/>
      <c r="J28" s="7" t="inlineStr"/>
      <c r="K28" s="7" t="inlineStr"/>
      <c r="L28" s="6" t="inlineStr"/>
      <c r="M28" s="6" t="inlineStr"/>
      <c r="N28" s="4">
        <f>IFERROR(VLOOKUP($M28,Riesgos!$A$2:$E$200,5,FALSE),"")</f>
        <v/>
      </c>
      <c r="O28" s="8" t="n"/>
      <c r="P28" s="8" t="n"/>
      <c r="Q28" s="9" t="n"/>
      <c r="R28" s="4">
        <f>IF($H28&lt;&gt;"Sí","",IF($I28="No implementado",IF(OR($N28="Muy alto",$N28="Alto"),"ALERTA ALTA","ALERTA"),IF(AND($I28="En proceso",OR($N28="Muy alto",$N28="Alto")),"EN PROCESO (riesgo alto)","")))</f>
        <v/>
      </c>
      <c r="S28" s="7" t="inlineStr"/>
    </row>
    <row r="29" ht="48" customHeight="1">
      <c r="A29" s="4" t="inlineStr">
        <is>
          <t>A.5</t>
        </is>
      </c>
      <c r="B29" s="4" t="inlineStr">
        <is>
          <t>DOM_A5</t>
        </is>
      </c>
      <c r="C29" s="4" t="inlineStr">
        <is>
          <t>Organizacionales</t>
        </is>
      </c>
      <c r="D29" s="4" t="inlineStr">
        <is>
          <t>A.5.28</t>
        </is>
      </c>
      <c r="E29" s="5" t="inlineStr">
        <is>
          <t>Recolección y preservación de evidencias</t>
        </is>
      </c>
      <c r="F29" s="5" t="inlineStr">
        <is>
          <t>Recolecta y preserva evidencias de manera forense para soportar investigaciones internas/legales manteniendo cadena de custodia.</t>
        </is>
      </c>
      <c r="G29" s="5" t="inlineStr">
        <is>
          <t>• Definir procedimiento forense
• capacitar personal
• usar herramientas aprobadas
• mantener cadena de custodia
• almacenar evidencias de forma segura
• coordinar con legal
• retener según requisitos.</t>
        </is>
      </c>
      <c r="H29" s="4">
        <f>IF($I29="No aplicable","No","Sí")</f>
        <v/>
      </c>
      <c r="I29" s="6" t="n"/>
      <c r="J29" s="7" t="inlineStr"/>
      <c r="K29" s="7" t="inlineStr"/>
      <c r="L29" s="6" t="inlineStr"/>
      <c r="M29" s="6" t="inlineStr"/>
      <c r="N29" s="4">
        <f>IFERROR(VLOOKUP($M29,Riesgos!$A$2:$E$200,5,FALSE),"")</f>
        <v/>
      </c>
      <c r="O29" s="8" t="n"/>
      <c r="P29" s="8" t="n"/>
      <c r="Q29" s="9" t="n"/>
      <c r="R29" s="4">
        <f>IF($H29&lt;&gt;"Sí","",IF($I29="No implementado",IF(OR($N29="Muy alto",$N29="Alto"),"ALERTA ALTA","ALERTA"),IF(AND($I29="En proceso",OR($N29="Muy alto",$N29="Alto")),"EN PROCESO (riesgo alto)","")))</f>
        <v/>
      </c>
      <c r="S29" s="7" t="inlineStr"/>
    </row>
    <row r="30" ht="48" customHeight="1">
      <c r="A30" s="4" t="inlineStr">
        <is>
          <t>A.5</t>
        </is>
      </c>
      <c r="B30" s="4" t="inlineStr">
        <is>
          <t>DOM_A5</t>
        </is>
      </c>
      <c r="C30" s="4" t="inlineStr">
        <is>
          <t>Organizacionales</t>
        </is>
      </c>
      <c r="D30" s="4" t="inlineStr">
        <is>
          <t>A.5.29</t>
        </is>
      </c>
      <c r="E30" s="5" t="inlineStr">
        <is>
          <t>Seguridad de la información durante interrupciones</t>
        </is>
      </c>
      <c r="F30" s="5" t="inlineStr">
        <is>
          <t>Mantiene seguridad de la información durante interrupciones, asegurando que controles críticos siguen operando en modo degradado.</t>
        </is>
      </c>
      <c r="G30" s="5" t="inlineStr">
        <is>
          <t>• Definir controles mínimos en contingencia
• establecer accesos de emergencia controlados
• asegurar backups y comunicaciones
• proteger información en sitios alternos
• probar escenarios
• registrar decisiones y excepciones.</t>
        </is>
      </c>
      <c r="H30" s="4">
        <f>IF($I30="No aplicable","No","Sí")</f>
        <v/>
      </c>
      <c r="I30" s="6" t="n"/>
      <c r="J30" s="7" t="inlineStr"/>
      <c r="K30" s="7" t="inlineStr"/>
      <c r="L30" s="6" t="inlineStr"/>
      <c r="M30" s="6" t="inlineStr"/>
      <c r="N30" s="4">
        <f>IFERROR(VLOOKUP($M30,Riesgos!$A$2:$E$200,5,FALSE),"")</f>
        <v/>
      </c>
      <c r="O30" s="8" t="n"/>
      <c r="P30" s="8" t="n"/>
      <c r="Q30" s="9" t="n"/>
      <c r="R30" s="4">
        <f>IF($H30&lt;&gt;"Sí","",IF($I30="No implementado",IF(OR($N30="Muy alto",$N30="Alto"),"ALERTA ALTA","ALERTA"),IF(AND($I30="En proceso",OR($N30="Muy alto",$N30="Alto")),"EN PROCESO (riesgo alto)","")))</f>
        <v/>
      </c>
      <c r="S30" s="7" t="inlineStr"/>
    </row>
    <row r="31" ht="48" customHeight="1">
      <c r="A31" s="4" t="inlineStr">
        <is>
          <t>A.5</t>
        </is>
      </c>
      <c r="B31" s="4" t="inlineStr">
        <is>
          <t>DOM_A5</t>
        </is>
      </c>
      <c r="C31" s="4" t="inlineStr">
        <is>
          <t>Organizacionales</t>
        </is>
      </c>
      <c r="D31" s="4" t="inlineStr">
        <is>
          <t>A.5.30</t>
        </is>
      </c>
      <c r="E31" s="5" t="inlineStr">
        <is>
          <t>Preparación TIC para continuidad del negocio</t>
        </is>
      </c>
      <c r="F31" s="5" t="inlineStr">
        <is>
          <t>Asegura preparación TIC para continuidad del negocio: recuperación, respaldo, redundancia y pruebas de restauración/failover.</t>
        </is>
      </c>
      <c r="G31" s="5" t="inlineStr">
        <is>
          <t>• Definir RTO/RPO
• diseñar DR/BCP de TI
• implementar backups y replicación
• probar restauración y conmutación
• mantener runbooks
• revisar cambios de infraestructura y actualizar planes.</t>
        </is>
      </c>
      <c r="H31" s="4">
        <f>IF($I31="No aplicable","No","Sí")</f>
        <v/>
      </c>
      <c r="I31" s="6" t="n"/>
      <c r="J31" s="7" t="inlineStr"/>
      <c r="K31" s="7" t="inlineStr"/>
      <c r="L31" s="6" t="inlineStr"/>
      <c r="M31" s="6" t="inlineStr"/>
      <c r="N31" s="4">
        <f>IFERROR(VLOOKUP($M31,Riesgos!$A$2:$E$200,5,FALSE),"")</f>
        <v/>
      </c>
      <c r="O31" s="8" t="n"/>
      <c r="P31" s="8" t="n"/>
      <c r="Q31" s="9" t="n"/>
      <c r="R31" s="4">
        <f>IF($H31&lt;&gt;"Sí","",IF($I31="No implementado",IF(OR($N31="Muy alto",$N31="Alto"),"ALERTA ALTA","ALERTA"),IF(AND($I31="En proceso",OR($N31="Muy alto",$N31="Alto")),"EN PROCESO (riesgo alto)","")))</f>
        <v/>
      </c>
      <c r="S31" s="7" t="inlineStr"/>
    </row>
    <row r="32" ht="48" customHeight="1">
      <c r="A32" s="4" t="inlineStr">
        <is>
          <t>A.5</t>
        </is>
      </c>
      <c r="B32" s="4" t="inlineStr">
        <is>
          <t>DOM_A5</t>
        </is>
      </c>
      <c r="C32" s="4" t="inlineStr">
        <is>
          <t>Organizacionales</t>
        </is>
      </c>
      <c r="D32" s="4" t="inlineStr">
        <is>
          <t>A.5.31</t>
        </is>
      </c>
      <c r="E32" s="5" t="inlineStr">
        <is>
          <t>Requisitos legales/regulatorios/contractuales</t>
        </is>
      </c>
      <c r="F32" s="5" t="inlineStr">
        <is>
          <t>Identifica y cumple requisitos legales, regulatorios y contractuales aplicables a la seguridad de la información y privacidad.</t>
        </is>
      </c>
      <c r="G32" s="5" t="inlineStr">
        <is>
          <t>• Mantener matriz de cumplimiento
• asignar responsables
• implementar controles para requisitos
• revisar cambios normativos
• evidenciar cumplimiento
• incorporar requisitos en contratos y políticas.</t>
        </is>
      </c>
      <c r="H32" s="4">
        <f>IF($I32="No aplicable","No","Sí")</f>
        <v/>
      </c>
      <c r="I32" s="6" t="n"/>
      <c r="J32" s="7" t="inlineStr"/>
      <c r="K32" s="7" t="inlineStr"/>
      <c r="L32" s="6" t="inlineStr"/>
      <c r="M32" s="6" t="inlineStr"/>
      <c r="N32" s="4">
        <f>IFERROR(VLOOKUP($M32,Riesgos!$A$2:$E$200,5,FALSE),"")</f>
        <v/>
      </c>
      <c r="O32" s="8" t="n"/>
      <c r="P32" s="8" t="n"/>
      <c r="Q32" s="9" t="n"/>
      <c r="R32" s="4">
        <f>IF($H32&lt;&gt;"Sí","",IF($I32="No implementado",IF(OR($N32="Muy alto",$N32="Alto"),"ALERTA ALTA","ALERTA"),IF(AND($I32="En proceso",OR($N32="Muy alto",$N32="Alto")),"EN PROCESO (riesgo alto)","")))</f>
        <v/>
      </c>
      <c r="S32" s="7" t="inlineStr"/>
    </row>
    <row r="33" ht="48" customHeight="1">
      <c r="A33" s="4" t="inlineStr">
        <is>
          <t>A.5</t>
        </is>
      </c>
      <c r="B33" s="4" t="inlineStr">
        <is>
          <t>DOM_A5</t>
        </is>
      </c>
      <c r="C33" s="4" t="inlineStr">
        <is>
          <t>Organizacionales</t>
        </is>
      </c>
      <c r="D33" s="4" t="inlineStr">
        <is>
          <t>A.5.32</t>
        </is>
      </c>
      <c r="E33" s="5" t="inlineStr">
        <is>
          <t>Derechos de propiedad intelectual (DPI)</t>
        </is>
      </c>
      <c r="F33" s="5" t="inlineStr">
        <is>
          <t>Protege derechos de propiedad intelectual y asegura uso legal de software/datos/licencias.</t>
        </is>
      </c>
      <c r="G33" s="5" t="inlineStr">
        <is>
          <t>• Inventariar licencias y activos IP
• definir reglas de uso y reproducción
• controlar software no autorizado
• revisar cumplimiento de licencias
• gestionar contenido de terceros
• registrar evidencias.</t>
        </is>
      </c>
      <c r="H33" s="4">
        <f>IF($I33="No aplicable","No","Sí")</f>
        <v/>
      </c>
      <c r="I33" s="6" t="n"/>
      <c r="J33" s="7" t="inlineStr"/>
      <c r="K33" s="7" t="inlineStr"/>
      <c r="L33" s="6" t="inlineStr"/>
      <c r="M33" s="6" t="inlineStr"/>
      <c r="N33" s="4">
        <f>IFERROR(VLOOKUP($M33,Riesgos!$A$2:$E$200,5,FALSE),"")</f>
        <v/>
      </c>
      <c r="O33" s="8" t="n"/>
      <c r="P33" s="8" t="n"/>
      <c r="Q33" s="9" t="n"/>
      <c r="R33" s="4">
        <f>IF($H33&lt;&gt;"Sí","",IF($I33="No implementado",IF(OR($N33="Muy alto",$N33="Alto"),"ALERTA ALTA","ALERTA"),IF(AND($I33="En proceso",OR($N33="Muy alto",$N33="Alto")),"EN PROCESO (riesgo alto)","")))</f>
        <v/>
      </c>
      <c r="S33" s="7" t="inlineStr"/>
    </row>
    <row r="34" ht="48" customHeight="1">
      <c r="A34" s="4" t="inlineStr">
        <is>
          <t>A.5</t>
        </is>
      </c>
      <c r="B34" s="4" t="inlineStr">
        <is>
          <t>DOM_A5</t>
        </is>
      </c>
      <c r="C34" s="4" t="inlineStr">
        <is>
          <t>Organizacionales</t>
        </is>
      </c>
      <c r="D34" s="4" t="inlineStr">
        <is>
          <t>A.5.33</t>
        </is>
      </c>
      <c r="E34" s="5" t="inlineStr">
        <is>
          <t>Protección y retención de registros</t>
        </is>
      </c>
      <c r="F34" s="5" t="inlineStr">
        <is>
          <t>Protege registros (records) para asegurar su integridad, disponibilidad y trazabilidad durante su ciclo de vida y retención.</t>
        </is>
      </c>
      <c r="G34" s="5" t="inlineStr">
        <is>
          <t>• Definir política de gestión de registros
• establecer retención y disposiciones
• asegurar almacenamiento y backups
• controlar accesos
• proteger contra alteración
• auditar registros críticos.</t>
        </is>
      </c>
      <c r="H34" s="4">
        <f>IF($I34="No aplicable","No","Sí")</f>
        <v/>
      </c>
      <c r="I34" s="6" t="n"/>
      <c r="J34" s="7" t="inlineStr"/>
      <c r="K34" s="7" t="inlineStr"/>
      <c r="L34" s="6" t="inlineStr"/>
      <c r="M34" s="6" t="inlineStr"/>
      <c r="N34" s="4">
        <f>IFERROR(VLOOKUP($M34,Riesgos!$A$2:$E$200,5,FALSE),"")</f>
        <v/>
      </c>
      <c r="O34" s="8" t="n"/>
      <c r="P34" s="8" t="n"/>
      <c r="Q34" s="9" t="n"/>
      <c r="R34" s="4">
        <f>IF($H34&lt;&gt;"Sí","",IF($I34="No implementado",IF(OR($N34="Muy alto",$N34="Alto"),"ALERTA ALTA","ALERTA"),IF(AND($I34="En proceso",OR($N34="Muy alto",$N34="Alto")),"EN PROCESO (riesgo alto)","")))</f>
        <v/>
      </c>
      <c r="S34" s="7" t="inlineStr"/>
    </row>
    <row r="35" ht="48" customHeight="1">
      <c r="A35" s="4" t="inlineStr">
        <is>
          <t>A.5</t>
        </is>
      </c>
      <c r="B35" s="4" t="inlineStr">
        <is>
          <t>DOM_A5</t>
        </is>
      </c>
      <c r="C35" s="4" t="inlineStr">
        <is>
          <t>Organizacionales</t>
        </is>
      </c>
      <c r="D35" s="4" t="inlineStr">
        <is>
          <t>A.5.34</t>
        </is>
      </c>
      <c r="E35" s="5" t="inlineStr">
        <is>
          <t>Privacidad y protección de PII</t>
        </is>
      </c>
      <c r="F35" s="5" t="inlineStr">
        <is>
          <t>Gestiona privacidad y protección de información identificable (PII) conforme a requisitos aplicables, minimizando exposición y riesgo.</t>
        </is>
      </c>
      <c r="G35" s="5" t="inlineStr">
        <is>
          <t>• Inventariar PII y bases legales
• aplicar minimización y controles de acceso
• cifrar PII sensible
• gestionar derechos de titulares
• evaluar DPIA/PIA cuando aplique
• monitorear incidentes y notificar según norma.</t>
        </is>
      </c>
      <c r="H35" s="4">
        <f>IF($I35="No aplicable","No","Sí")</f>
        <v/>
      </c>
      <c r="I35" s="6" t="n"/>
      <c r="J35" s="7" t="inlineStr"/>
      <c r="K35" s="7" t="inlineStr"/>
      <c r="L35" s="6" t="inlineStr"/>
      <c r="M35" s="6" t="inlineStr"/>
      <c r="N35" s="4">
        <f>IFERROR(VLOOKUP($M35,Riesgos!$A$2:$E$200,5,FALSE),"")</f>
        <v/>
      </c>
      <c r="O35" s="8" t="n"/>
      <c r="P35" s="8" t="n"/>
      <c r="Q35" s="9" t="n"/>
      <c r="R35" s="4">
        <f>IF($H35&lt;&gt;"Sí","",IF($I35="No implementado",IF(OR($N35="Muy alto",$N35="Alto"),"ALERTA ALTA","ALERTA"),IF(AND($I35="En proceso",OR($N35="Muy alto",$N35="Alto")),"EN PROCESO (riesgo alto)","")))</f>
        <v/>
      </c>
      <c r="S35" s="7" t="inlineStr"/>
    </row>
    <row r="36" ht="48" customHeight="1">
      <c r="A36" s="4" t="inlineStr">
        <is>
          <t>A.5</t>
        </is>
      </c>
      <c r="B36" s="4" t="inlineStr">
        <is>
          <t>DOM_A5</t>
        </is>
      </c>
      <c r="C36" s="4" t="inlineStr">
        <is>
          <t>Organizacionales</t>
        </is>
      </c>
      <c r="D36" s="4" t="inlineStr">
        <is>
          <t>A.5.35</t>
        </is>
      </c>
      <c r="E36" s="5" t="inlineStr">
        <is>
          <t>Revisión independiente de SI</t>
        </is>
      </c>
      <c r="F36" s="5" t="inlineStr">
        <is>
          <t>Realiza revisiones independientes de seguridad para evaluar adecuación y eficacia de controles, políticas y procesos.</t>
        </is>
      </c>
      <c r="G36" s="5" t="inlineStr">
        <is>
          <t>• Planificar revisiones/auditorías internas
• definir alcance y criterios
• ejecutar pruebas y entrevistas
• emitir hallazgos y recomendaciones
• hacer seguimiento a acciones correctivas
• reportar a dirección.</t>
        </is>
      </c>
      <c r="H36" s="4">
        <f>IF($I36="No aplicable","No","Sí")</f>
        <v/>
      </c>
      <c r="I36" s="6" t="n"/>
      <c r="J36" s="7" t="inlineStr"/>
      <c r="K36" s="7" t="inlineStr"/>
      <c r="L36" s="6" t="inlineStr"/>
      <c r="M36" s="6" t="inlineStr"/>
      <c r="N36" s="4">
        <f>IFERROR(VLOOKUP($M36,Riesgos!$A$2:$E$200,5,FALSE),"")</f>
        <v/>
      </c>
      <c r="O36" s="8" t="n"/>
      <c r="P36" s="8" t="n"/>
      <c r="Q36" s="9" t="n"/>
      <c r="R36" s="4">
        <f>IF($H36&lt;&gt;"Sí","",IF($I36="No implementado",IF(OR($N36="Muy alto",$N36="Alto"),"ALERTA ALTA","ALERTA"),IF(AND($I36="En proceso",OR($N36="Muy alto",$N36="Alto")),"EN PROCESO (riesgo alto)","")))</f>
        <v/>
      </c>
      <c r="S36" s="7" t="inlineStr"/>
    </row>
    <row r="37" ht="48" customHeight="1">
      <c r="A37" s="4" t="inlineStr">
        <is>
          <t>A.5</t>
        </is>
      </c>
      <c r="B37" s="4" t="inlineStr">
        <is>
          <t>DOM_A5</t>
        </is>
      </c>
      <c r="C37" s="4" t="inlineStr">
        <is>
          <t>Organizacionales</t>
        </is>
      </c>
      <c r="D37" s="4" t="inlineStr">
        <is>
          <t>A.5.36</t>
        </is>
      </c>
      <c r="E37" s="5" t="inlineStr">
        <is>
          <t>Cumplimiento de políticas/reglas/estándares de SI</t>
        </is>
      </c>
      <c r="F37" s="5" t="inlineStr">
        <is>
          <t>Asegura el cumplimiento de políticas, reglas y estándares mediante monitoreo, verificación y corrección de desviaciones.</t>
        </is>
      </c>
      <c r="G37" s="5" t="inlineStr">
        <is>
          <t>• Definir controles de verificación
• ejecutar revisiones periódicas
• registrar no conformidades
• aplicar medidas disciplinarias/correctivas
• medir adherencia
• actualizar políticas según resultados.</t>
        </is>
      </c>
      <c r="H37" s="4">
        <f>IF($I37="No aplicable","No","Sí")</f>
        <v/>
      </c>
      <c r="I37" s="6" t="n"/>
      <c r="J37" s="7" t="inlineStr"/>
      <c r="K37" s="7" t="inlineStr"/>
      <c r="L37" s="6" t="inlineStr"/>
      <c r="M37" s="6" t="inlineStr"/>
      <c r="N37" s="4">
        <f>IFERROR(VLOOKUP($M37,Riesgos!$A$2:$E$200,5,FALSE),"")</f>
        <v/>
      </c>
      <c r="O37" s="8" t="n"/>
      <c r="P37" s="8" t="n"/>
      <c r="Q37" s="9" t="n"/>
      <c r="R37" s="4">
        <f>IF($H37&lt;&gt;"Sí","",IF($I37="No implementado",IF(OR($N37="Muy alto",$N37="Alto"),"ALERTA ALTA","ALERTA"),IF(AND($I37="En proceso",OR($N37="Muy alto",$N37="Alto")),"EN PROCESO (riesgo alto)","")))</f>
        <v/>
      </c>
      <c r="S37" s="7" t="inlineStr"/>
    </row>
    <row r="38" ht="48" customHeight="1">
      <c r="A38" s="4" t="inlineStr">
        <is>
          <t>A.5</t>
        </is>
      </c>
      <c r="B38" s="4" t="inlineStr">
        <is>
          <t>DOM_A5</t>
        </is>
      </c>
      <c r="C38" s="4" t="inlineStr">
        <is>
          <t>Organizacionales</t>
        </is>
      </c>
      <c r="D38" s="4" t="inlineStr">
        <is>
          <t>A.5.37</t>
        </is>
      </c>
      <c r="E38" s="5" t="inlineStr">
        <is>
          <t>Procedimientos operativos documentados</t>
        </is>
      </c>
      <c r="F38" s="5" t="inlineStr">
        <is>
          <t>Documenta procedimientos operativos necesarios para ejecutar operaciones de forma consistente y segura.</t>
        </is>
      </c>
      <c r="G38" s="5" t="inlineStr">
        <is>
          <t>• Identificar procesos críticos
• documentar SOP/runbooks
• versionar y aprobar
• publicar en repositorio
• entrenar a operadores
• revisar tras cambios o incidentes.</t>
        </is>
      </c>
      <c r="H38" s="4">
        <f>IF($I38="No aplicable","No","Sí")</f>
        <v/>
      </c>
      <c r="I38" s="6" t="n"/>
      <c r="J38" s="7" t="inlineStr"/>
      <c r="K38" s="7" t="inlineStr"/>
      <c r="L38" s="6" t="inlineStr"/>
      <c r="M38" s="6" t="inlineStr"/>
      <c r="N38" s="4">
        <f>IFERROR(VLOOKUP($M38,Riesgos!$A$2:$E$200,5,FALSE),"")</f>
        <v/>
      </c>
      <c r="O38" s="8" t="n"/>
      <c r="P38" s="8" t="n"/>
      <c r="Q38" s="9" t="n"/>
      <c r="R38" s="4">
        <f>IF($H38&lt;&gt;"Sí","",IF($I38="No implementado",IF(OR($N38="Muy alto",$N38="Alto"),"ALERTA ALTA","ALERTA"),IF(AND($I38="En proceso",OR($N38="Muy alto",$N38="Alto")),"EN PROCESO (riesgo alto)","")))</f>
        <v/>
      </c>
      <c r="S38" s="7" t="inlineStr"/>
    </row>
    <row r="39" ht="48" customHeight="1">
      <c r="A39" s="4" t="inlineStr">
        <is>
          <t>A.6</t>
        </is>
      </c>
      <c r="B39" s="4" t="inlineStr">
        <is>
          <t>DOM_A6</t>
        </is>
      </c>
      <c r="C39" s="4" t="inlineStr">
        <is>
          <t>Personas</t>
        </is>
      </c>
      <c r="D39" s="4" t="inlineStr">
        <is>
          <t>A.6.1</t>
        </is>
      </c>
      <c r="E39" s="5" t="inlineStr">
        <is>
          <t>Evaluación previa del personal (screening)</t>
        </is>
      </c>
      <c r="F39" s="5" t="inlineStr">
        <is>
          <t>Aplica procesos de verificación (screening) a personal relevante antes de la contratación o asignación a roles sensibles.</t>
        </is>
      </c>
      <c r="G39" s="5" t="inlineStr">
        <is>
          <t>• Definir criterios por rol
• realizar verificación de antecedentes según ley
• validar identidad y referencias
• registrar evidencias
• reevaluar para roles críticos
• gestionar excepciones aprobadas.</t>
        </is>
      </c>
      <c r="H39" s="4">
        <f>IF($I39="No aplicable","No","Sí")</f>
        <v/>
      </c>
      <c r="I39" s="6" t="n"/>
      <c r="J39" s="7" t="inlineStr"/>
      <c r="K39" s="7" t="inlineStr"/>
      <c r="L39" s="6" t="inlineStr"/>
      <c r="M39" s="6" t="inlineStr"/>
      <c r="N39" s="4">
        <f>IFERROR(VLOOKUP($M39,Riesgos!$A$2:$E$200,5,FALSE),"")</f>
        <v/>
      </c>
      <c r="O39" s="8" t="n"/>
      <c r="P39" s="8" t="n"/>
      <c r="Q39" s="9" t="n"/>
      <c r="R39" s="4">
        <f>IF($H39&lt;&gt;"Sí","",IF($I39="No implementado",IF(OR($N39="Muy alto",$N39="Alto"),"ALERTA ALTA","ALERTA"),IF(AND($I39="En proceso",OR($N39="Muy alto",$N39="Alto")),"EN PROCESO (riesgo alto)","")))</f>
        <v/>
      </c>
      <c r="S39" s="7" t="inlineStr"/>
    </row>
    <row r="40" ht="48" customHeight="1">
      <c r="A40" s="4" t="inlineStr">
        <is>
          <t>A.6</t>
        </is>
      </c>
      <c r="B40" s="4" t="inlineStr">
        <is>
          <t>DOM_A6</t>
        </is>
      </c>
      <c r="C40" s="4" t="inlineStr">
        <is>
          <t>Personas</t>
        </is>
      </c>
      <c r="D40" s="4" t="inlineStr">
        <is>
          <t>A.6.2</t>
        </is>
      </c>
      <c r="E40" s="5" t="inlineStr">
        <is>
          <t>Términos y condiciones de empleo</t>
        </is>
      </c>
      <c r="F40" s="5" t="inlineStr">
        <is>
          <t>Incluye obligaciones de seguridad en términos y condiciones de empleo/contrato, alineadas a políticas del SGSI.</t>
        </is>
      </c>
      <c r="G40" s="5" t="inlineStr">
        <is>
          <t>• Actualizar contratos y anexos
• incluir confidencialidad, uso aceptable y sanciones
• entregar políticas y obtener aceptación
• asegurar onboarding
• revisar en cambios de rol
• mantener registros.</t>
        </is>
      </c>
      <c r="H40" s="4">
        <f>IF($I40="No aplicable","No","Sí")</f>
        <v/>
      </c>
      <c r="I40" s="6" t="n"/>
      <c r="J40" s="7" t="inlineStr"/>
      <c r="K40" s="7" t="inlineStr"/>
      <c r="L40" s="6" t="inlineStr"/>
      <c r="M40" s="6" t="inlineStr"/>
      <c r="N40" s="4">
        <f>IFERROR(VLOOKUP($M40,Riesgos!$A$2:$E$200,5,FALSE),"")</f>
        <v/>
      </c>
      <c r="O40" s="8" t="n"/>
      <c r="P40" s="8" t="n"/>
      <c r="Q40" s="9" t="n"/>
      <c r="R40" s="4">
        <f>IF($H40&lt;&gt;"Sí","",IF($I40="No implementado",IF(OR($N40="Muy alto",$N40="Alto"),"ALERTA ALTA","ALERTA"),IF(AND($I40="En proceso",OR($N40="Muy alto",$N40="Alto")),"EN PROCESO (riesgo alto)","")))</f>
        <v/>
      </c>
      <c r="S40" s="7" t="inlineStr"/>
    </row>
    <row r="41" ht="48" customHeight="1">
      <c r="A41" s="4" t="inlineStr">
        <is>
          <t>A.6</t>
        </is>
      </c>
      <c r="B41" s="4" t="inlineStr">
        <is>
          <t>DOM_A6</t>
        </is>
      </c>
      <c r="C41" s="4" t="inlineStr">
        <is>
          <t>Personas</t>
        </is>
      </c>
      <c r="D41" s="4" t="inlineStr">
        <is>
          <t>A.6.3</t>
        </is>
      </c>
      <c r="E41" s="5" t="inlineStr">
        <is>
          <t>Concientización, educación y capacitación en SI</t>
        </is>
      </c>
      <c r="F41" s="5" t="inlineStr">
        <is>
          <t>Asegura concientización, educación y capacitación en seguridad acorde al rol y riesgos, de forma periódica.</t>
        </is>
      </c>
      <c r="G41" s="5" t="inlineStr">
        <is>
          <t>• Definir plan anual de formación
• capacitar por rol (general y especializado)
• realizar campañas (phishing, posters)
• evaluar efectividad
• registrar participación
• actualizar contenidos según incidentes.</t>
        </is>
      </c>
      <c r="H41" s="4">
        <f>IF($I41="No aplicable","No","Sí")</f>
        <v/>
      </c>
      <c r="I41" s="6" t="inlineStr">
        <is>
          <t>En proceso</t>
        </is>
      </c>
      <c r="J41" s="7" t="inlineStr">
        <is>
          <t>Plan anual de concientización, onboarding y formación por rol; métricas de asistencia.</t>
        </is>
      </c>
      <c r="K41" s="7" t="inlineStr">
        <is>
          <t>Plan de formación; registros de asistencia; resultados de phishing simulado.</t>
        </is>
      </c>
      <c r="L41" s="6" t="inlineStr">
        <is>
          <t>RR.HH. / CISO</t>
        </is>
      </c>
      <c r="M41" s="6" t="inlineStr">
        <is>
          <t>R-007</t>
        </is>
      </c>
      <c r="N41" s="4">
        <f>IFERROR(VLOOKUP($M41,Riesgos!$A$2:$E$200,5,FALSE),"")</f>
        <v/>
      </c>
      <c r="O41" s="8" t="n">
        <v>46081</v>
      </c>
      <c r="P41" s="8" t="n">
        <v>45992</v>
      </c>
      <c r="Q41" s="9" t="n">
        <v>0.25</v>
      </c>
      <c r="R41" s="4">
        <f>IF($H41&lt;&gt;"Sí","",IF($I41="No implementado",IF(OR($N41="Muy alto",$N41="Alto"),"ALERTA ALTA","ALERTA"),IF(AND($I41="En proceso",OR($N41="Muy alto",$N41="Alto")),"EN PROCESO (riesgo alto)","")))</f>
        <v/>
      </c>
      <c r="S41" s="7" t="inlineStr"/>
    </row>
    <row r="42" ht="48" customHeight="1">
      <c r="A42" s="4" t="inlineStr">
        <is>
          <t>A.6</t>
        </is>
      </c>
      <c r="B42" s="4" t="inlineStr">
        <is>
          <t>DOM_A6</t>
        </is>
      </c>
      <c r="C42" s="4" t="inlineStr">
        <is>
          <t>Personas</t>
        </is>
      </c>
      <c r="D42" s="4" t="inlineStr">
        <is>
          <t>A.6.4</t>
        </is>
      </c>
      <c r="E42" s="5" t="inlineStr">
        <is>
          <t>Proceso disciplinario relacionado con SI</t>
        </is>
      </c>
      <c r="F42" s="5" t="inlineStr">
        <is>
          <t>Establece un proceso disciplinario para tratar violaciones a políticas y controles de seguridad.</t>
        </is>
      </c>
      <c r="G42" s="5" t="inlineStr">
        <is>
          <t>• Definir política disciplinaria
• clasificar severidad
• coordinar con RRHH y legal
• aplicar medidas consistentes
• registrar casos
• retroalimentar al SGSI para prevención.</t>
        </is>
      </c>
      <c r="H42" s="4">
        <f>IF($I42="No aplicable","No","Sí")</f>
        <v/>
      </c>
      <c r="I42" s="6" t="n"/>
      <c r="J42" s="7" t="inlineStr"/>
      <c r="K42" s="7" t="inlineStr"/>
      <c r="L42" s="6" t="inlineStr"/>
      <c r="M42" s="6" t="inlineStr"/>
      <c r="N42" s="4">
        <f>IFERROR(VLOOKUP($M42,Riesgos!$A$2:$E$200,5,FALSE),"")</f>
        <v/>
      </c>
      <c r="O42" s="8" t="n"/>
      <c r="P42" s="8" t="n"/>
      <c r="Q42" s="9" t="n"/>
      <c r="R42" s="4">
        <f>IF($H42&lt;&gt;"Sí","",IF($I42="No implementado",IF(OR($N42="Muy alto",$N42="Alto"),"ALERTA ALTA","ALERTA"),IF(AND($I42="En proceso",OR($N42="Muy alto",$N42="Alto")),"EN PROCESO (riesgo alto)","")))</f>
        <v/>
      </c>
      <c r="S42" s="7" t="inlineStr"/>
    </row>
    <row r="43" ht="48" customHeight="1">
      <c r="A43" s="4" t="inlineStr">
        <is>
          <t>A.6</t>
        </is>
      </c>
      <c r="B43" s="4" t="inlineStr">
        <is>
          <t>DOM_A6</t>
        </is>
      </c>
      <c r="C43" s="4" t="inlineStr">
        <is>
          <t>Personas</t>
        </is>
      </c>
      <c r="D43" s="4" t="inlineStr">
        <is>
          <t>A.6.5</t>
        </is>
      </c>
      <c r="E43" s="5" t="inlineStr">
        <is>
          <t>Responsabilidades tras cese o cambio de empleo</t>
        </is>
      </c>
      <c r="F43" s="5" t="inlineStr">
        <is>
          <t>Gestiona responsabilidades tras cese o cambio de empleo, asegurando revocación de accesos y devolución de activos.</t>
        </is>
      </c>
      <c r="G43" s="5" t="inlineStr">
        <is>
          <t>• Activar proceso JML con RRHH
• revocar accesos y credenciales
• retirar privilegios
• recuperar activos
• asegurar continuidad de responsabilidades
• registrar cierre y evidencias.</t>
        </is>
      </c>
      <c r="H43" s="4">
        <f>IF($I43="No aplicable","No","Sí")</f>
        <v/>
      </c>
      <c r="I43" s="6" t="n"/>
      <c r="J43" s="7" t="inlineStr"/>
      <c r="K43" s="7" t="inlineStr"/>
      <c r="L43" s="6" t="inlineStr"/>
      <c r="M43" s="6" t="inlineStr"/>
      <c r="N43" s="4">
        <f>IFERROR(VLOOKUP($M43,Riesgos!$A$2:$E$200,5,FALSE),"")</f>
        <v/>
      </c>
      <c r="O43" s="8" t="n"/>
      <c r="P43" s="8" t="n"/>
      <c r="Q43" s="9" t="n"/>
      <c r="R43" s="4">
        <f>IF($H43&lt;&gt;"Sí","",IF($I43="No implementado",IF(OR($N43="Muy alto",$N43="Alto"),"ALERTA ALTA","ALERTA"),IF(AND($I43="En proceso",OR($N43="Muy alto",$N43="Alto")),"EN PROCESO (riesgo alto)","")))</f>
        <v/>
      </c>
      <c r="S43" s="7" t="inlineStr"/>
    </row>
    <row r="44" ht="48" customHeight="1">
      <c r="A44" s="4" t="inlineStr">
        <is>
          <t>A.6</t>
        </is>
      </c>
      <c r="B44" s="4" t="inlineStr">
        <is>
          <t>DOM_A6</t>
        </is>
      </c>
      <c r="C44" s="4" t="inlineStr">
        <is>
          <t>Personas</t>
        </is>
      </c>
      <c r="D44" s="4" t="inlineStr">
        <is>
          <t>A.6.6</t>
        </is>
      </c>
      <c r="E44" s="5" t="inlineStr">
        <is>
          <t>Acuerdos de confidencialidad / no divulgación</t>
        </is>
      </c>
      <c r="F44" s="5" t="inlineStr">
        <is>
          <t>Asegura acuerdos de confidencialidad/NDA con empleados, contratistas y terceros con acceso a información sensible.</t>
        </is>
      </c>
      <c r="G44" s="5" t="inlineStr">
        <is>
          <t>• Definir plantillas NDA
• firmar antes de acceso
• almacenar y controlar vigencia
• incluir obligaciones post-empleo
• revisar para terceros
• auditar cobertura.</t>
        </is>
      </c>
      <c r="H44" s="4">
        <f>IF($I44="No aplicable","No","Sí")</f>
        <v/>
      </c>
      <c r="I44" s="6" t="inlineStr">
        <is>
          <t>Implementado</t>
        </is>
      </c>
      <c r="J44" s="7" t="inlineStr">
        <is>
          <t>NDA firmado por empleados/contratistas antes de acceso; repositorio controlado.</t>
        </is>
      </c>
      <c r="K44" s="7" t="inlineStr">
        <is>
          <t>Plantilla NDA; evidencias firmadas; control de acceso al repositorio.</t>
        </is>
      </c>
      <c r="L44" s="6" t="inlineStr">
        <is>
          <t>RR.HH.</t>
        </is>
      </c>
      <c r="M44" s="6" t="inlineStr">
        <is>
          <t>R-002</t>
        </is>
      </c>
      <c r="N44" s="4">
        <f>IFERROR(VLOOKUP($M44,Riesgos!$A$2:$E$200,5,FALSE),"")</f>
        <v/>
      </c>
      <c r="O44" s="8" t="n">
        <v>46022</v>
      </c>
      <c r="P44" s="8" t="n">
        <v>45981</v>
      </c>
      <c r="Q44" s="9" t="n">
        <v>1</v>
      </c>
      <c r="R44" s="4">
        <f>IF($H44&lt;&gt;"Sí","",IF($I44="No implementado",IF(OR($N44="Muy alto",$N44="Alto"),"ALERTA ALTA","ALERTA"),IF(AND($I44="En proceso",OR($N44="Muy alto",$N44="Alto")),"EN PROCESO (riesgo alto)","")))</f>
        <v/>
      </c>
      <c r="S44" s="7" t="inlineStr"/>
    </row>
    <row r="45" ht="48" customHeight="1">
      <c r="A45" s="4" t="inlineStr">
        <is>
          <t>A.6</t>
        </is>
      </c>
      <c r="B45" s="4" t="inlineStr">
        <is>
          <t>DOM_A6</t>
        </is>
      </c>
      <c r="C45" s="4" t="inlineStr">
        <is>
          <t>Personas</t>
        </is>
      </c>
      <c r="D45" s="4" t="inlineStr">
        <is>
          <t>A.6.7</t>
        </is>
      </c>
      <c r="E45" s="5" t="inlineStr">
        <is>
          <t>Trabajo remoto seguro</t>
        </is>
      </c>
      <c r="F45" s="5" t="inlineStr">
        <is>
          <t>Define y aplica requisitos de seguridad para el trabajo a distancia, protegiendo accesos, dispositivos y datos.</t>
        </is>
      </c>
      <c r="G45" s="5" t="inlineStr">
        <is>
          <t>• Publicar política de trabajo remoto
• exigir MFA/VPN
• gestionar endpoints (MDM/EDR)
• definir reglas BYOD
• proteger datos (cifrado, DLP básico)
• entrenar usuarios y revisar cumplimiento.</t>
        </is>
      </c>
      <c r="H45" s="4">
        <f>IF($I45="No aplicable","No","Sí")</f>
        <v/>
      </c>
      <c r="I45" s="6" t="n"/>
      <c r="J45" s="7" t="inlineStr"/>
      <c r="K45" s="7" t="inlineStr"/>
      <c r="L45" s="6" t="inlineStr"/>
      <c r="M45" s="6" t="inlineStr"/>
      <c r="N45" s="4">
        <f>IFERROR(VLOOKUP($M45,Riesgos!$A$2:$E$200,5,FALSE),"")</f>
        <v/>
      </c>
      <c r="O45" s="8" t="n"/>
      <c r="P45" s="8" t="n"/>
      <c r="Q45" s="9" t="n"/>
      <c r="R45" s="4">
        <f>IF($H45&lt;&gt;"Sí","",IF($I45="No implementado",IF(OR($N45="Muy alto",$N45="Alto"),"ALERTA ALTA","ALERTA"),IF(AND($I45="En proceso",OR($N45="Muy alto",$N45="Alto")),"EN PROCESO (riesgo alto)","")))</f>
        <v/>
      </c>
      <c r="S45" s="7" t="inlineStr"/>
    </row>
    <row r="46" ht="48" customHeight="1">
      <c r="A46" s="4" t="inlineStr">
        <is>
          <t>A.6</t>
        </is>
      </c>
      <c r="B46" s="4" t="inlineStr">
        <is>
          <t>DOM_A6</t>
        </is>
      </c>
      <c r="C46" s="4" t="inlineStr">
        <is>
          <t>Personas</t>
        </is>
      </c>
      <c r="D46" s="4" t="inlineStr">
        <is>
          <t>A.6.8</t>
        </is>
      </c>
      <c r="E46" s="5" t="inlineStr">
        <is>
          <t>Reporte de eventos de seguridad de la información</t>
        </is>
      </c>
      <c r="F46" s="5" t="inlineStr">
        <is>
          <t>Establece canales y procedimiento para que el personal reporte eventos de seguridad de manera rápida y segura.</t>
        </is>
      </c>
      <c r="G46" s="5" t="inlineStr">
        <is>
          <t>• Definir canales (correo, portal, hotline)
• comunicar a todo el personal
• permitir reporte confidencial
• definir SLA de triage
• registrar y clasificar reportes
• retroalimentar con comunicación y mejoras.</t>
        </is>
      </c>
      <c r="H46" s="4">
        <f>IF($I46="No aplicable","No","Sí")</f>
        <v/>
      </c>
      <c r="I46" s="6" t="n"/>
      <c r="J46" s="7" t="inlineStr"/>
      <c r="K46" s="7" t="inlineStr"/>
      <c r="L46" s="6" t="inlineStr"/>
      <c r="M46" s="6" t="inlineStr"/>
      <c r="N46" s="4">
        <f>IFERROR(VLOOKUP($M46,Riesgos!$A$2:$E$200,5,FALSE),"")</f>
        <v/>
      </c>
      <c r="O46" s="8" t="n"/>
      <c r="P46" s="8" t="n"/>
      <c r="Q46" s="9" t="n"/>
      <c r="R46" s="4">
        <f>IF($H46&lt;&gt;"Sí","",IF($I46="No implementado",IF(OR($N46="Muy alto",$N46="Alto"),"ALERTA ALTA","ALERTA"),IF(AND($I46="En proceso",OR($N46="Muy alto",$N46="Alto")),"EN PROCESO (riesgo alto)","")))</f>
        <v/>
      </c>
      <c r="S46" s="7" t="inlineStr"/>
    </row>
    <row r="47" ht="48" customHeight="1">
      <c r="A47" s="4" t="inlineStr">
        <is>
          <t>A.7</t>
        </is>
      </c>
      <c r="B47" s="4" t="inlineStr">
        <is>
          <t>DOM_A7</t>
        </is>
      </c>
      <c r="C47" s="4" t="inlineStr">
        <is>
          <t>Físicos</t>
        </is>
      </c>
      <c r="D47" s="4" t="inlineStr">
        <is>
          <t>A.7.1</t>
        </is>
      </c>
      <c r="E47" s="5" t="inlineStr">
        <is>
          <t>Perímetros de seguridad física</t>
        </is>
      </c>
      <c r="F47" s="5" t="inlineStr">
        <is>
          <t>Define perímetros de seguridad física para proteger áreas y activos críticos frente a accesos no autorizados.</t>
        </is>
      </c>
      <c r="G47" s="5" t="inlineStr">
        <is>
          <t>• Delimitar zonas (público, restringido, crítico)
• instalar barreras y controles
• señalizar
• revisar puntos de entrada
• registrar visitantes
• auditar periódicamente.</t>
        </is>
      </c>
      <c r="H47" s="4">
        <f>IF($I47="No aplicable","No","Sí")</f>
        <v/>
      </c>
      <c r="I47" s="6" t="n"/>
      <c r="J47" s="7" t="inlineStr"/>
      <c r="K47" s="7" t="inlineStr"/>
      <c r="L47" s="6" t="inlineStr"/>
      <c r="M47" s="6" t="inlineStr"/>
      <c r="N47" s="4">
        <f>IFERROR(VLOOKUP($M47,Riesgos!$A$2:$E$200,5,FALSE),"")</f>
        <v/>
      </c>
      <c r="O47" s="8" t="n"/>
      <c r="P47" s="8" t="n"/>
      <c r="Q47" s="9" t="n"/>
      <c r="R47" s="4">
        <f>IF($H47&lt;&gt;"Sí","",IF($I47="No implementado",IF(OR($N47="Muy alto",$N47="Alto"),"ALERTA ALTA","ALERTA"),IF(AND($I47="En proceso",OR($N47="Muy alto",$N47="Alto")),"EN PROCESO (riesgo alto)","")))</f>
        <v/>
      </c>
      <c r="S47" s="7" t="inlineStr"/>
    </row>
    <row r="48" ht="48" customHeight="1">
      <c r="A48" s="4" t="inlineStr">
        <is>
          <t>A.7</t>
        </is>
      </c>
      <c r="B48" s="4" t="inlineStr">
        <is>
          <t>DOM_A7</t>
        </is>
      </c>
      <c r="C48" s="4" t="inlineStr">
        <is>
          <t>Físicos</t>
        </is>
      </c>
      <c r="D48" s="4" t="inlineStr">
        <is>
          <t>A.7.2</t>
        </is>
      </c>
      <c r="E48" s="5" t="inlineStr">
        <is>
          <t>Control de accesos/entradas físicas</t>
        </is>
      </c>
      <c r="F48" s="5" t="inlineStr">
        <is>
          <t>Controla la entrada física a instalaciones y áreas seguras mediante mecanismos de autenticación y registro.</t>
        </is>
      </c>
      <c r="G48" s="5" t="inlineStr">
        <is>
          <t>• Implementar credenciales/biometría según riesgo
• gestionar altas/bajas de tarjetas
• registrar accesos
• supervisar visitantes
• revisar logs
• probar controles y respuesta ante fallos.</t>
        </is>
      </c>
      <c r="H48" s="4">
        <f>IF($I48="No aplicable","No","Sí")</f>
        <v/>
      </c>
      <c r="I48" s="6" t="inlineStr">
        <is>
          <t>Implementado</t>
        </is>
      </c>
      <c r="J48" s="7" t="inlineStr">
        <is>
          <t>Control de acceso físico (credenciales/registro de visitas) y revisión periódica.</t>
        </is>
      </c>
      <c r="K48" s="7" t="inlineStr">
        <is>
          <t>Procedimiento visitas; bitácora; fotos de controles; reporte de revisión.</t>
        </is>
      </c>
      <c r="L48" s="6" t="inlineStr">
        <is>
          <t>Facilities / Seguridad Física</t>
        </is>
      </c>
      <c r="M48" s="6" t="inlineStr">
        <is>
          <t>R-006</t>
        </is>
      </c>
      <c r="N48" s="4">
        <f>IFERROR(VLOOKUP($M48,Riesgos!$A$2:$E$200,5,FALSE),"")</f>
        <v/>
      </c>
      <c r="O48" s="8" t="n">
        <v>46022</v>
      </c>
      <c r="P48" s="8" t="n">
        <v>45996</v>
      </c>
      <c r="Q48" s="9" t="n">
        <v>1</v>
      </c>
      <c r="R48" s="4">
        <f>IF($H48&lt;&gt;"Sí","",IF($I48="No implementado",IF(OR($N48="Muy alto",$N48="Alto"),"ALERTA ALTA","ALERTA"),IF(AND($I48="En proceso",OR($N48="Muy alto",$N48="Alto")),"EN PROCESO (riesgo alto)","")))</f>
        <v/>
      </c>
      <c r="S48" s="7" t="inlineStr"/>
    </row>
    <row r="49" ht="48" customHeight="1">
      <c r="A49" s="4" t="inlineStr">
        <is>
          <t>A.7</t>
        </is>
      </c>
      <c r="B49" s="4" t="inlineStr">
        <is>
          <t>DOM_A7</t>
        </is>
      </c>
      <c r="C49" s="4" t="inlineStr">
        <is>
          <t>Físicos</t>
        </is>
      </c>
      <c r="D49" s="4" t="inlineStr">
        <is>
          <t>A.7.3</t>
        </is>
      </c>
      <c r="E49" s="5" t="inlineStr">
        <is>
          <t>Protección de oficinas, salas e instalaciones</t>
        </is>
      </c>
      <c r="F49" s="5" t="inlineStr">
        <is>
          <t>Asegura oficinas, salas e instalaciones para prevenir acceso no autorizado y proteger equipos e información.</t>
        </is>
      </c>
      <c r="G49" s="5" t="inlineStr">
        <is>
          <t>• Evaluar riesgos por ubicación
• instalar cerraduras y control de llaves
• asegurar salas de servidores/archivo
• gestionar alarmas
• controlar acceso fuera de horario
• registrar inspecciones.</t>
        </is>
      </c>
      <c r="H49" s="4">
        <f>IF($I49="No aplicable","No","Sí")</f>
        <v/>
      </c>
      <c r="I49" s="6" t="n"/>
      <c r="J49" s="7" t="inlineStr"/>
      <c r="K49" s="7" t="inlineStr"/>
      <c r="L49" s="6" t="inlineStr"/>
      <c r="M49" s="6" t="inlineStr"/>
      <c r="N49" s="4">
        <f>IFERROR(VLOOKUP($M49,Riesgos!$A$2:$E$200,5,FALSE),"")</f>
        <v/>
      </c>
      <c r="O49" s="8" t="n"/>
      <c r="P49" s="8" t="n"/>
      <c r="Q49" s="9" t="n"/>
      <c r="R49" s="4">
        <f>IF($H49&lt;&gt;"Sí","",IF($I49="No implementado",IF(OR($N49="Muy alto",$N49="Alto"),"ALERTA ALTA","ALERTA"),IF(AND($I49="En proceso",OR($N49="Muy alto",$N49="Alto")),"EN PROCESO (riesgo alto)","")))</f>
        <v/>
      </c>
      <c r="S49" s="7" t="inlineStr"/>
    </row>
    <row r="50" ht="48" customHeight="1">
      <c r="A50" s="4" t="inlineStr">
        <is>
          <t>A.7</t>
        </is>
      </c>
      <c r="B50" s="4" t="inlineStr">
        <is>
          <t>DOM_A7</t>
        </is>
      </c>
      <c r="C50" s="4" t="inlineStr">
        <is>
          <t>Físicos</t>
        </is>
      </c>
      <c r="D50" s="4" t="inlineStr">
        <is>
          <t>A.7.4</t>
        </is>
      </c>
      <c r="E50" s="5" t="inlineStr">
        <is>
          <t>Monitoreo de seguridad física</t>
        </is>
      </c>
      <c r="F50" s="5" t="inlineStr">
        <is>
          <t>Monitorea seguridad física (p. ej., CCTV, sensores) para detectar y responder a incidentes de acceso o daño.</t>
        </is>
      </c>
      <c r="G50" s="5" t="inlineStr">
        <is>
          <t>• Definir áreas a monitorear
• desplegar CCTV/sensores
• retener grabaciones según política
• proteger evidencias
• revisar alertas
• probar respuesta e integraciones con incidentes.</t>
        </is>
      </c>
      <c r="H50" s="4">
        <f>IF($I50="No aplicable","No","Sí")</f>
        <v/>
      </c>
      <c r="I50" s="6" t="n"/>
      <c r="J50" s="7" t="inlineStr"/>
      <c r="K50" s="7" t="inlineStr"/>
      <c r="L50" s="6" t="inlineStr"/>
      <c r="M50" s="6" t="inlineStr"/>
      <c r="N50" s="4">
        <f>IFERROR(VLOOKUP($M50,Riesgos!$A$2:$E$200,5,FALSE),"")</f>
        <v/>
      </c>
      <c r="O50" s="8" t="n"/>
      <c r="P50" s="8" t="n"/>
      <c r="Q50" s="9" t="n"/>
      <c r="R50" s="4">
        <f>IF($H50&lt;&gt;"Sí","",IF($I50="No implementado",IF(OR($N50="Muy alto",$N50="Alto"),"ALERTA ALTA","ALERTA"),IF(AND($I50="En proceso",OR($N50="Muy alto",$N50="Alto")),"EN PROCESO (riesgo alto)","")))</f>
        <v/>
      </c>
      <c r="S50" s="7" t="inlineStr"/>
    </row>
    <row r="51" ht="48" customHeight="1">
      <c r="A51" s="4" t="inlineStr">
        <is>
          <t>A.7</t>
        </is>
      </c>
      <c r="B51" s="4" t="inlineStr">
        <is>
          <t>DOM_A7</t>
        </is>
      </c>
      <c r="C51" s="4" t="inlineStr">
        <is>
          <t>Físicos</t>
        </is>
      </c>
      <c r="D51" s="4" t="inlineStr">
        <is>
          <t>A.7.5</t>
        </is>
      </c>
      <c r="E51" s="5" t="inlineStr">
        <is>
          <t>Protección ante amenazas físicas y ambientales</t>
        </is>
      </c>
      <c r="F51" s="5" t="inlineStr">
        <is>
          <t>Protege contra amenazas físicas y ambientales (incendio, inundación, temperatura, humo, polvo) que afecten instalaciones y equipos.</t>
        </is>
      </c>
      <c r="G51" s="5" t="inlineStr">
        <is>
          <t>• Realizar evaluación de amenazas
• instalar detección/extinción
• controlar temperatura/humedad
• definir mantenimiento preventivo
• probar sistemas
• registrar inspecciones y planes de mejora.</t>
        </is>
      </c>
      <c r="H51" s="4">
        <f>IF($I51="No aplicable","No","Sí")</f>
        <v/>
      </c>
      <c r="I51" s="6" t="n"/>
      <c r="J51" s="7" t="inlineStr"/>
      <c r="K51" s="7" t="inlineStr"/>
      <c r="L51" s="6" t="inlineStr"/>
      <c r="M51" s="6" t="inlineStr"/>
      <c r="N51" s="4">
        <f>IFERROR(VLOOKUP($M51,Riesgos!$A$2:$E$200,5,FALSE),"")</f>
        <v/>
      </c>
      <c r="O51" s="8" t="n"/>
      <c r="P51" s="8" t="n"/>
      <c r="Q51" s="9" t="n"/>
      <c r="R51" s="4">
        <f>IF($H51&lt;&gt;"Sí","",IF($I51="No implementado",IF(OR($N51="Muy alto",$N51="Alto"),"ALERTA ALTA","ALERTA"),IF(AND($I51="En proceso",OR($N51="Muy alto",$N51="Alto")),"EN PROCESO (riesgo alto)","")))</f>
        <v/>
      </c>
      <c r="S51" s="7" t="inlineStr"/>
    </row>
    <row r="52" ht="48" customHeight="1">
      <c r="A52" s="4" t="inlineStr">
        <is>
          <t>A.7</t>
        </is>
      </c>
      <c r="B52" s="4" t="inlineStr">
        <is>
          <t>DOM_A7</t>
        </is>
      </c>
      <c r="C52" s="4" t="inlineStr">
        <is>
          <t>Físicos</t>
        </is>
      </c>
      <c r="D52" s="4" t="inlineStr">
        <is>
          <t>A.7.6</t>
        </is>
      </c>
      <c r="E52" s="5" t="inlineStr">
        <is>
          <t>Trabajo en zonas/áreas seguras</t>
        </is>
      </c>
      <c r="F52" s="5" t="inlineStr">
        <is>
          <t>Controla el trabajo en zonas seguras, aplicando autorizaciones, supervisión y medidas adicionales.</t>
        </is>
      </c>
      <c r="G52" s="5" t="inlineStr">
        <is>
          <t>• Definir criterios de zona segura
• autorizar personal
• aplicar controles (sin dispositivos no autorizados)
• supervisar trabajos de terceros
• registrar actividades
• revisar cumplimiento.</t>
        </is>
      </c>
      <c r="H52" s="4">
        <f>IF($I52="No aplicable","No","Sí")</f>
        <v/>
      </c>
      <c r="I52" s="6" t="n"/>
      <c r="J52" s="7" t="inlineStr"/>
      <c r="K52" s="7" t="inlineStr"/>
      <c r="L52" s="6" t="inlineStr"/>
      <c r="M52" s="6" t="inlineStr"/>
      <c r="N52" s="4">
        <f>IFERROR(VLOOKUP($M52,Riesgos!$A$2:$E$200,5,FALSE),"")</f>
        <v/>
      </c>
      <c r="O52" s="8" t="n"/>
      <c r="P52" s="8" t="n"/>
      <c r="Q52" s="9" t="n"/>
      <c r="R52" s="4">
        <f>IF($H52&lt;&gt;"Sí","",IF($I52="No implementado",IF(OR($N52="Muy alto",$N52="Alto"),"ALERTA ALTA","ALERTA"),IF(AND($I52="En proceso",OR($N52="Muy alto",$N52="Alto")),"EN PROCESO (riesgo alto)","")))</f>
        <v/>
      </c>
      <c r="S52" s="7" t="inlineStr"/>
    </row>
    <row r="53" ht="48" customHeight="1">
      <c r="A53" s="4" t="inlineStr">
        <is>
          <t>A.7</t>
        </is>
      </c>
      <c r="B53" s="4" t="inlineStr">
        <is>
          <t>DOM_A7</t>
        </is>
      </c>
      <c r="C53" s="4" t="inlineStr">
        <is>
          <t>Físicos</t>
        </is>
      </c>
      <c r="D53" s="4" t="inlineStr">
        <is>
          <t>A.7.7</t>
        </is>
      </c>
      <c r="E53" s="5" t="inlineStr">
        <is>
          <t>Escritorio y pantalla limpia</t>
        </is>
      </c>
      <c r="F53" s="5" t="inlineStr">
        <is>
          <t>Aplica política de escritorio y pantalla despejados para reducir exposición de información en el puesto de trabajo.</t>
        </is>
      </c>
      <c r="G53" s="5" t="inlineStr">
        <is>
          <t>• Publicar regla clear desk/screen
• configurar bloqueo automático
• proveer almacenamiento seguro
• destruir papeles mediante trituradoras
• inspecciones aleatorias
• campañas de concientización.</t>
        </is>
      </c>
      <c r="H53" s="4">
        <f>IF($I53="No aplicable","No","Sí")</f>
        <v/>
      </c>
      <c r="I53" s="6" t="n"/>
      <c r="J53" s="7" t="inlineStr"/>
      <c r="K53" s="7" t="inlineStr"/>
      <c r="L53" s="6" t="inlineStr"/>
      <c r="M53" s="6" t="inlineStr"/>
      <c r="N53" s="4">
        <f>IFERROR(VLOOKUP($M53,Riesgos!$A$2:$E$200,5,FALSE),"")</f>
        <v/>
      </c>
      <c r="O53" s="8" t="n"/>
      <c r="P53" s="8" t="n"/>
      <c r="Q53" s="9" t="n"/>
      <c r="R53" s="4">
        <f>IF($H53&lt;&gt;"Sí","",IF($I53="No implementado",IF(OR($N53="Muy alto",$N53="Alto"),"ALERTA ALTA","ALERTA"),IF(AND($I53="En proceso",OR($N53="Muy alto",$N53="Alto")),"EN PROCESO (riesgo alto)","")))</f>
        <v/>
      </c>
      <c r="S53" s="7" t="inlineStr"/>
    </row>
    <row r="54" ht="48" customHeight="1">
      <c r="A54" s="4" t="inlineStr">
        <is>
          <t>A.7</t>
        </is>
      </c>
      <c r="B54" s="4" t="inlineStr">
        <is>
          <t>DOM_A7</t>
        </is>
      </c>
      <c r="C54" s="4" t="inlineStr">
        <is>
          <t>Físicos</t>
        </is>
      </c>
      <c r="D54" s="4" t="inlineStr">
        <is>
          <t>A.7.8</t>
        </is>
      </c>
      <c r="E54" s="5" t="inlineStr">
        <is>
          <t>Ubicación y protección del equipamiento</t>
        </is>
      </c>
      <c r="F54" s="5" t="inlineStr">
        <is>
          <t>Ubica y protege equipos para minimizar riesgos de robo, manipulación, daño ambiental o acceso no autorizado.</t>
        </is>
      </c>
      <c r="G54" s="5" t="inlineStr">
        <is>
          <t>• Definir requisitos de ubicación
• usar anclajes/armarios
• restringir acceso a cableado/puertos
• proteger contra derrames/calor
• inventariar
• revisar en cambios de layout.</t>
        </is>
      </c>
      <c r="H54" s="4">
        <f>IF($I54="No aplicable","No","Sí")</f>
        <v/>
      </c>
      <c r="I54" s="6" t="n"/>
      <c r="J54" s="7" t="inlineStr"/>
      <c r="K54" s="7" t="inlineStr"/>
      <c r="L54" s="6" t="inlineStr"/>
      <c r="M54" s="6" t="inlineStr"/>
      <c r="N54" s="4">
        <f>IFERROR(VLOOKUP($M54,Riesgos!$A$2:$E$200,5,FALSE),"")</f>
        <v/>
      </c>
      <c r="O54" s="8" t="n"/>
      <c r="P54" s="8" t="n"/>
      <c r="Q54" s="9" t="n"/>
      <c r="R54" s="4">
        <f>IF($H54&lt;&gt;"Sí","",IF($I54="No implementado",IF(OR($N54="Muy alto",$N54="Alto"),"ALERTA ALTA","ALERTA"),IF(AND($I54="En proceso",OR($N54="Muy alto",$N54="Alto")),"EN PROCESO (riesgo alto)","")))</f>
        <v/>
      </c>
      <c r="S54" s="7" t="inlineStr"/>
    </row>
    <row r="55" ht="48" customHeight="1">
      <c r="A55" s="4" t="inlineStr">
        <is>
          <t>A.7</t>
        </is>
      </c>
      <c r="B55" s="4" t="inlineStr">
        <is>
          <t>DOM_A7</t>
        </is>
      </c>
      <c r="C55" s="4" t="inlineStr">
        <is>
          <t>Físicos</t>
        </is>
      </c>
      <c r="D55" s="4" t="inlineStr">
        <is>
          <t>A.7.9</t>
        </is>
      </c>
      <c r="E55" s="5" t="inlineStr">
        <is>
          <t>Seguridad de activos fuera de las instalaciones</t>
        </is>
      </c>
      <c r="F55" s="5" t="inlineStr">
        <is>
          <t>Protege activos fuera de las instalaciones (portátiles, medios, equipos) durante transporte y uso externo.</t>
        </is>
      </c>
      <c r="G55" s="5" t="inlineStr">
        <is>
          <t>• Definir política off-premises
• cifrar dispositivos
• registrar asignación
• usar fundas/cables
• exigir VPN/MFA
• reportar pérdidas
• evaluar riesgos en viajes.</t>
        </is>
      </c>
      <c r="H55" s="4">
        <f>IF($I55="No aplicable","No","Sí")</f>
        <v/>
      </c>
      <c r="I55" s="6" t="n"/>
      <c r="J55" s="7" t="inlineStr"/>
      <c r="K55" s="7" t="inlineStr"/>
      <c r="L55" s="6" t="inlineStr"/>
      <c r="M55" s="6" t="inlineStr"/>
      <c r="N55" s="4">
        <f>IFERROR(VLOOKUP($M55,Riesgos!$A$2:$E$200,5,FALSE),"")</f>
        <v/>
      </c>
      <c r="O55" s="8" t="n"/>
      <c r="P55" s="8" t="n"/>
      <c r="Q55" s="9" t="n"/>
      <c r="R55" s="4">
        <f>IF($H55&lt;&gt;"Sí","",IF($I55="No implementado",IF(OR($N55="Muy alto",$N55="Alto"),"ALERTA ALTA","ALERTA"),IF(AND($I55="En proceso",OR($N55="Muy alto",$N55="Alto")),"EN PROCESO (riesgo alto)","")))</f>
        <v/>
      </c>
      <c r="S55" s="7" t="inlineStr"/>
    </row>
    <row r="56" ht="48" customHeight="1">
      <c r="A56" s="4" t="inlineStr">
        <is>
          <t>A.7</t>
        </is>
      </c>
      <c r="B56" s="4" t="inlineStr">
        <is>
          <t>DOM_A7</t>
        </is>
      </c>
      <c r="C56" s="4" t="inlineStr">
        <is>
          <t>Físicos</t>
        </is>
      </c>
      <c r="D56" s="4" t="inlineStr">
        <is>
          <t>A.7.10</t>
        </is>
      </c>
      <c r="E56" s="5" t="inlineStr">
        <is>
          <t>Gestión de medios de almacenamiento</t>
        </is>
      </c>
      <c r="F56" s="5" t="inlineStr">
        <is>
          <t>Gestiona medios de almacenamiento (removibles y fijos) para prevenir pérdida, fuga o acceso no autorizado.</t>
        </is>
      </c>
      <c r="G56" s="5" t="inlineStr">
        <is>
          <t>• Inventariar medios
• autorizar uso de USB
• cifrar medios
• almacenar en lugar seguro
• controlar transporte
• definir destrucción/borrado
• registrar movimientos.</t>
        </is>
      </c>
      <c r="H56" s="4">
        <f>IF($I56="No aplicable","No","Sí")</f>
        <v/>
      </c>
      <c r="I56" s="6" t="inlineStr">
        <is>
          <t>En proceso</t>
        </is>
      </c>
      <c r="J56" s="7" t="inlineStr">
        <is>
          <t>Inventario de medios; cifrado; custodia y destrucción certificada.</t>
        </is>
      </c>
      <c r="K56" s="7" t="inlineStr">
        <is>
          <t>Inventario medios; política de cifrado; certificados de destrucción.</t>
        </is>
      </c>
      <c r="L56" s="6" t="inlineStr">
        <is>
          <t>TI / Facilities</t>
        </is>
      </c>
      <c r="M56" s="6" t="inlineStr">
        <is>
          <t>R-010</t>
        </is>
      </c>
      <c r="N56" s="4">
        <f>IFERROR(VLOOKUP($M56,Riesgos!$A$2:$E$200,5,FALSE),"")</f>
        <v/>
      </c>
      <c r="O56" s="8" t="n">
        <v>46142</v>
      </c>
      <c r="P56" s="8" t="n">
        <v>45998</v>
      </c>
      <c r="Q56" s="9" t="n">
        <v>0.3</v>
      </c>
      <c r="R56" s="4">
        <f>IF($H56&lt;&gt;"Sí","",IF($I56="No implementado",IF(OR($N56="Muy alto",$N56="Alto"),"ALERTA ALTA","ALERTA"),IF(AND($I56="En proceso",OR($N56="Muy alto",$N56="Alto")),"EN PROCESO (riesgo alto)","")))</f>
        <v/>
      </c>
      <c r="S56" s="7" t="inlineStr"/>
    </row>
    <row r="57" ht="48" customHeight="1">
      <c r="A57" s="4" t="inlineStr">
        <is>
          <t>A.7</t>
        </is>
      </c>
      <c r="B57" s="4" t="inlineStr">
        <is>
          <t>DOM_A7</t>
        </is>
      </c>
      <c r="C57" s="4" t="inlineStr">
        <is>
          <t>Físicos</t>
        </is>
      </c>
      <c r="D57" s="4" t="inlineStr">
        <is>
          <t>A.7.11</t>
        </is>
      </c>
      <c r="E57" s="5" t="inlineStr">
        <is>
          <t>Servicios de apoyo (energía, climatización, etc.)</t>
        </is>
      </c>
      <c r="F57" s="5" t="inlineStr">
        <is>
          <t>Asegura servicios de apoyo (energía, climatización, agua) que sostienen la operación segura y disponible de instalaciones TI.</t>
        </is>
      </c>
      <c r="G57" s="5" t="inlineStr">
        <is>
          <t>• Evaluar dependencias críticas
• implementar UPS/generador
• monitorear energía y ambiente
• mantener contratos de mantenimiento
• probar conmutación
• documentar capacidades.</t>
        </is>
      </c>
      <c r="H57" s="4">
        <f>IF($I57="No aplicable","No","Sí")</f>
        <v/>
      </c>
      <c r="I57" s="6" t="n"/>
      <c r="J57" s="7" t="inlineStr"/>
      <c r="K57" s="7" t="inlineStr"/>
      <c r="L57" s="6" t="inlineStr"/>
      <c r="M57" s="6" t="inlineStr"/>
      <c r="N57" s="4">
        <f>IFERROR(VLOOKUP($M57,Riesgos!$A$2:$E$200,5,FALSE),"")</f>
        <v/>
      </c>
      <c r="O57" s="8" t="n"/>
      <c r="P57" s="8" t="n"/>
      <c r="Q57" s="9" t="n"/>
      <c r="R57" s="4">
        <f>IF($H57&lt;&gt;"Sí","",IF($I57="No implementado",IF(OR($N57="Muy alto",$N57="Alto"),"ALERTA ALTA","ALERTA"),IF(AND($I57="En proceso",OR($N57="Muy alto",$N57="Alto")),"EN PROCESO (riesgo alto)","")))</f>
        <v/>
      </c>
      <c r="S57" s="7" t="inlineStr"/>
    </row>
    <row r="58" ht="48" customHeight="1">
      <c r="A58" s="4" t="inlineStr">
        <is>
          <t>A.7</t>
        </is>
      </c>
      <c r="B58" s="4" t="inlineStr">
        <is>
          <t>DOM_A7</t>
        </is>
      </c>
      <c r="C58" s="4" t="inlineStr">
        <is>
          <t>Físicos</t>
        </is>
      </c>
      <c r="D58" s="4" t="inlineStr">
        <is>
          <t>A.7.12</t>
        </is>
      </c>
      <c r="E58" s="5" t="inlineStr">
        <is>
          <t>Seguridad de cableado</t>
        </is>
      </c>
      <c r="F58" s="5" t="inlineStr">
        <is>
          <t>Protege cableado de energía y comunicaciones para evitar cortes, manipulación o interceptación.</t>
        </is>
      </c>
      <c r="G58" s="5" t="inlineStr">
        <is>
          <t>• Usar canalizaciones y protecciones
• restringir acceso a racks/patch panels
• etiquetar y documentar
• inspecciones periódicas
• controles contra interferencia
• gestionar cambios.</t>
        </is>
      </c>
      <c r="H58" s="4">
        <f>IF($I58="No aplicable","No","Sí")</f>
        <v/>
      </c>
      <c r="I58" s="6" t="n"/>
      <c r="J58" s="7" t="inlineStr"/>
      <c r="K58" s="7" t="inlineStr"/>
      <c r="L58" s="6" t="inlineStr"/>
      <c r="M58" s="6" t="inlineStr"/>
      <c r="N58" s="4">
        <f>IFERROR(VLOOKUP($M58,Riesgos!$A$2:$E$200,5,FALSE),"")</f>
        <v/>
      </c>
      <c r="O58" s="8" t="n"/>
      <c r="P58" s="8" t="n"/>
      <c r="Q58" s="9" t="n"/>
      <c r="R58" s="4">
        <f>IF($H58&lt;&gt;"Sí","",IF($I58="No implementado",IF(OR($N58="Muy alto",$N58="Alto"),"ALERTA ALTA","ALERTA"),IF(AND($I58="En proceso",OR($N58="Muy alto",$N58="Alto")),"EN PROCESO (riesgo alto)","")))</f>
        <v/>
      </c>
      <c r="S58" s="7" t="inlineStr"/>
    </row>
    <row r="59" ht="48" customHeight="1">
      <c r="A59" s="4" t="inlineStr">
        <is>
          <t>A.7</t>
        </is>
      </c>
      <c r="B59" s="4" t="inlineStr">
        <is>
          <t>DOM_A7</t>
        </is>
      </c>
      <c r="C59" s="4" t="inlineStr">
        <is>
          <t>Físicos</t>
        </is>
      </c>
      <c r="D59" s="4" t="inlineStr">
        <is>
          <t>A.7.13</t>
        </is>
      </c>
      <c r="E59" s="5" t="inlineStr">
        <is>
          <t>Mantenimiento del equipo</t>
        </is>
      </c>
      <c r="F59" s="5" t="inlineStr">
        <is>
          <t>Realiza mantenimiento de equipos para preservar disponibilidad y reducir fallos que puedan derivar en incidentes.</t>
        </is>
      </c>
      <c r="G59" s="5" t="inlineStr">
        <is>
          <t>• Definir plan de mantenimiento
• ejecutar revisiones preventivas
• registrar intervenciones
• controlar acceso de técnicos
• probar post-mantenimiento
• actualizar inventario y configuración.</t>
        </is>
      </c>
      <c r="H59" s="4">
        <f>IF($I59="No aplicable","No","Sí")</f>
        <v/>
      </c>
      <c r="I59" s="6" t="n"/>
      <c r="J59" s="7" t="inlineStr"/>
      <c r="K59" s="7" t="inlineStr"/>
      <c r="L59" s="6" t="inlineStr"/>
      <c r="M59" s="6" t="inlineStr"/>
      <c r="N59" s="4">
        <f>IFERROR(VLOOKUP($M59,Riesgos!$A$2:$E$200,5,FALSE),"")</f>
        <v/>
      </c>
      <c r="O59" s="8" t="n"/>
      <c r="P59" s="8" t="n"/>
      <c r="Q59" s="9" t="n"/>
      <c r="R59" s="4">
        <f>IF($H59&lt;&gt;"Sí","",IF($I59="No implementado",IF(OR($N59="Muy alto",$N59="Alto"),"ALERTA ALTA","ALERTA"),IF(AND($I59="En proceso",OR($N59="Muy alto",$N59="Alto")),"EN PROCESO (riesgo alto)","")))</f>
        <v/>
      </c>
      <c r="S59" s="7" t="inlineStr"/>
    </row>
    <row r="60" ht="48" customHeight="1">
      <c r="A60" s="4" t="inlineStr">
        <is>
          <t>A.7</t>
        </is>
      </c>
      <c r="B60" s="4" t="inlineStr">
        <is>
          <t>DOM_A7</t>
        </is>
      </c>
      <c r="C60" s="4" t="inlineStr">
        <is>
          <t>Físicos</t>
        </is>
      </c>
      <c r="D60" s="4" t="inlineStr">
        <is>
          <t>A.7.14</t>
        </is>
      </c>
      <c r="E60" s="5" t="inlineStr">
        <is>
          <t>Disposición o reutilización segura del equipo</t>
        </is>
      </c>
      <c r="F60" s="5" t="inlineStr">
        <is>
          <t>Asegura eliminación o reutilización segura de equipos, evitando exposición de datos residuales.</t>
        </is>
      </c>
      <c r="G60" s="5" t="inlineStr">
        <is>
          <t>• Aplicar borrado seguro (wipe) o destrucción
• validar irreversibilidad
• gestionar cadena de custodia
• registrar disposición
• retirar etiquetas/credenciales
• auditar proveedores de destrucción.</t>
        </is>
      </c>
      <c r="H60" s="4">
        <f>IF($I60="No aplicable","No","Sí")</f>
        <v/>
      </c>
      <c r="I60" s="6" t="n"/>
      <c r="J60" s="7" t="inlineStr"/>
      <c r="K60" s="7" t="inlineStr"/>
      <c r="L60" s="6" t="inlineStr"/>
      <c r="M60" s="6" t="inlineStr"/>
      <c r="N60" s="4">
        <f>IFERROR(VLOOKUP($M60,Riesgos!$A$2:$E$200,5,FALSE),"")</f>
        <v/>
      </c>
      <c r="O60" s="8" t="n"/>
      <c r="P60" s="8" t="n"/>
      <c r="Q60" s="9" t="n"/>
      <c r="R60" s="4">
        <f>IF($H60&lt;&gt;"Sí","",IF($I60="No implementado",IF(OR($N60="Muy alto",$N60="Alto"),"ALERTA ALTA","ALERTA"),IF(AND($I60="En proceso",OR($N60="Muy alto",$N60="Alto")),"EN PROCESO (riesgo alto)","")))</f>
        <v/>
      </c>
      <c r="S60" s="7" t="inlineStr"/>
    </row>
    <row r="61" ht="48" customHeight="1">
      <c r="A61" s="4" t="inlineStr">
        <is>
          <t>A.8</t>
        </is>
      </c>
      <c r="B61" s="4" t="inlineStr">
        <is>
          <t>DOM_A8</t>
        </is>
      </c>
      <c r="C61" s="4" t="inlineStr">
        <is>
          <t>Tecnológicos</t>
        </is>
      </c>
      <c r="D61" s="4" t="inlineStr">
        <is>
          <t>A.8.1</t>
        </is>
      </c>
      <c r="E61" s="5" t="inlineStr">
        <is>
          <t>Dispositivos terminales de usuario (endpoints)</t>
        </is>
      </c>
      <c r="F61" s="5" t="inlineStr">
        <is>
          <t>Gestiona la seguridad de dispositivos terminales de usuario (endpoints) para proteger datos y reducir superficie de ataque.</t>
        </is>
      </c>
      <c r="G61" s="5" t="inlineStr">
        <is>
          <t>• Definir estándar de endpoint
• aplicar hardening y cifrado
• gestionar parches
• EDR/antimalware
• controlar software autorizado
• inventario y monitoreo.</t>
        </is>
      </c>
      <c r="H61" s="4">
        <f>IF($I61="No aplicable","No","Sí")</f>
        <v/>
      </c>
      <c r="I61" s="6" t="n"/>
      <c r="J61" s="7" t="inlineStr"/>
      <c r="K61" s="7" t="inlineStr"/>
      <c r="L61" s="6" t="inlineStr"/>
      <c r="M61" s="6" t="inlineStr"/>
      <c r="N61" s="4">
        <f>IFERROR(VLOOKUP($M61,Riesgos!$A$2:$E$200,5,FALSE),"")</f>
        <v/>
      </c>
      <c r="O61" s="8" t="n"/>
      <c r="P61" s="8" t="n"/>
      <c r="Q61" s="9" t="n"/>
      <c r="R61" s="4">
        <f>IF($H61&lt;&gt;"Sí","",IF($I61="No implementado",IF(OR($N61="Muy alto",$N61="Alto"),"ALERTA ALTA","ALERTA"),IF(AND($I61="En proceso",OR($N61="Muy alto",$N61="Alto")),"EN PROCESO (riesgo alto)","")))</f>
        <v/>
      </c>
      <c r="S61" s="7" t="inlineStr"/>
    </row>
    <row r="62" ht="48" customHeight="1">
      <c r="A62" s="4" t="inlineStr">
        <is>
          <t>A.8</t>
        </is>
      </c>
      <c r="B62" s="4" t="inlineStr">
        <is>
          <t>DOM_A8</t>
        </is>
      </c>
      <c r="C62" s="4" t="inlineStr">
        <is>
          <t>Tecnológicos</t>
        </is>
      </c>
      <c r="D62" s="4" t="inlineStr">
        <is>
          <t>A.8.2</t>
        </is>
      </c>
      <c r="E62" s="5" t="inlineStr">
        <is>
          <t>Derechos de acceso privilegiado</t>
        </is>
      </c>
      <c r="F62" s="5" t="inlineStr">
        <is>
          <t>Gestiona derechos de acceso privilegiado para minimizar abuso o compromiso de cuentas con altos permisos.</t>
        </is>
      </c>
      <c r="G62" s="5" t="inlineStr">
        <is>
          <t>• Inventariar cuentas privilegiadas
• usar PAM
• MFA obligatorio
• aprobación y tiempo limitado
• registrar sesiones
• revisar privilegios periódicamente.</t>
        </is>
      </c>
      <c r="H62" s="4">
        <f>IF($I62="No aplicable","No","Sí")</f>
        <v/>
      </c>
      <c r="I62" s="6" t="n"/>
      <c r="J62" s="7" t="inlineStr"/>
      <c r="K62" s="7" t="inlineStr"/>
      <c r="L62" s="6" t="inlineStr"/>
      <c r="M62" s="6" t="inlineStr"/>
      <c r="N62" s="4">
        <f>IFERROR(VLOOKUP($M62,Riesgos!$A$2:$E$200,5,FALSE),"")</f>
        <v/>
      </c>
      <c r="O62" s="8" t="n"/>
      <c r="P62" s="8" t="n"/>
      <c r="Q62" s="9" t="n"/>
      <c r="R62" s="4">
        <f>IF($H62&lt;&gt;"Sí","",IF($I62="No implementado",IF(OR($N62="Muy alto",$N62="Alto"),"ALERTA ALTA","ALERTA"),IF(AND($I62="En proceso",OR($N62="Muy alto",$N62="Alto")),"EN PROCESO (riesgo alto)","")))</f>
        <v/>
      </c>
      <c r="S62" s="7" t="inlineStr"/>
    </row>
    <row r="63" ht="48" customHeight="1">
      <c r="A63" s="4" t="inlineStr">
        <is>
          <t>A.8</t>
        </is>
      </c>
      <c r="B63" s="4" t="inlineStr">
        <is>
          <t>DOM_A8</t>
        </is>
      </c>
      <c r="C63" s="4" t="inlineStr">
        <is>
          <t>Tecnológicos</t>
        </is>
      </c>
      <c r="D63" s="4" t="inlineStr">
        <is>
          <t>A.8.3</t>
        </is>
      </c>
      <c r="E63" s="5" t="inlineStr">
        <is>
          <t>Restricción de acceso a la información (need-to-know)</t>
        </is>
      </c>
      <c r="F63" s="5" t="inlineStr">
        <is>
          <t>Restringe acceso a la información según necesidad y sensibilidad mediante controles lógicos y segmentación.</t>
        </is>
      </c>
      <c r="G63" s="5" t="inlineStr">
        <is>
          <t>• Definir matrices de acceso
• aplicar RBAC/ABAC
• segmentar datos y sistemas
• controlar acceso a archivos/bd
• revisar permisos
• registrar accesos críticos.</t>
        </is>
      </c>
      <c r="H63" s="4">
        <f>IF($I63="No aplicable","No","Sí")</f>
        <v/>
      </c>
      <c r="I63" s="6" t="n"/>
      <c r="J63" s="7" t="inlineStr"/>
      <c r="K63" s="7" t="inlineStr"/>
      <c r="L63" s="6" t="inlineStr"/>
      <c r="M63" s="6" t="inlineStr"/>
      <c r="N63" s="4">
        <f>IFERROR(VLOOKUP($M63,Riesgos!$A$2:$E$200,5,FALSE),"")</f>
        <v/>
      </c>
      <c r="O63" s="8" t="n"/>
      <c r="P63" s="8" t="n"/>
      <c r="Q63" s="9" t="n"/>
      <c r="R63" s="4">
        <f>IF($H63&lt;&gt;"Sí","",IF($I63="No implementado",IF(OR($N63="Muy alto",$N63="Alto"),"ALERTA ALTA","ALERTA"),IF(AND($I63="En proceso",OR($N63="Muy alto",$N63="Alto")),"EN PROCESO (riesgo alto)","")))</f>
        <v/>
      </c>
      <c r="S63" s="7" t="inlineStr"/>
    </row>
    <row r="64" ht="48" customHeight="1">
      <c r="A64" s="4" t="inlineStr">
        <is>
          <t>A.8</t>
        </is>
      </c>
      <c r="B64" s="4" t="inlineStr">
        <is>
          <t>DOM_A8</t>
        </is>
      </c>
      <c r="C64" s="4" t="inlineStr">
        <is>
          <t>Tecnológicos</t>
        </is>
      </c>
      <c r="D64" s="4" t="inlineStr">
        <is>
          <t>A.8.4</t>
        </is>
      </c>
      <c r="E64" s="5" t="inlineStr">
        <is>
          <t>Acceso al código fuente</t>
        </is>
      </c>
      <c r="F64" s="5" t="inlineStr">
        <is>
          <t>Controla el acceso al código fuente para prevenir cambios no autorizados y fuga de propiedad intelectual.</t>
        </is>
      </c>
      <c r="G64" s="5" t="inlineStr">
        <is>
          <t>• Usar repositorios controlados
• MFA y permisos por rol
• revisiones y aprobaciones (PR)
• registrar cambios
• proteger secretos en repos
• auditar accesos.</t>
        </is>
      </c>
      <c r="H64" s="4">
        <f>IF($I64="No aplicable","No","Sí")</f>
        <v/>
      </c>
      <c r="I64" s="6" t="n"/>
      <c r="J64" s="7" t="inlineStr"/>
      <c r="K64" s="7" t="inlineStr"/>
      <c r="L64" s="6" t="inlineStr"/>
      <c r="M64" s="6" t="inlineStr"/>
      <c r="N64" s="4">
        <f>IFERROR(VLOOKUP($M64,Riesgos!$A$2:$E$200,5,FALSE),"")</f>
        <v/>
      </c>
      <c r="O64" s="8" t="n"/>
      <c r="P64" s="8" t="n"/>
      <c r="Q64" s="9" t="n"/>
      <c r="R64" s="4">
        <f>IF($H64&lt;&gt;"Sí","",IF($I64="No implementado",IF(OR($N64="Muy alto",$N64="Alto"),"ALERTA ALTA","ALERTA"),IF(AND($I64="En proceso",OR($N64="Muy alto",$N64="Alto")),"EN PROCESO (riesgo alto)","")))</f>
        <v/>
      </c>
      <c r="S64" s="7" t="inlineStr"/>
    </row>
    <row r="65" ht="48" customHeight="1">
      <c r="A65" s="4" t="inlineStr">
        <is>
          <t>A.8</t>
        </is>
      </c>
      <c r="B65" s="4" t="inlineStr">
        <is>
          <t>DOM_A8</t>
        </is>
      </c>
      <c r="C65" s="4" t="inlineStr">
        <is>
          <t>Tecnológicos</t>
        </is>
      </c>
      <c r="D65" s="4" t="inlineStr">
        <is>
          <t>A.8.5</t>
        </is>
      </c>
      <c r="E65" s="5" t="inlineStr">
        <is>
          <t>Autenticación robusta/segura</t>
        </is>
      </c>
      <c r="F65" s="5" t="inlineStr">
        <is>
          <t>Implementa autenticación segura para usuarios y sistemas, reduciendo riesgo de suplantación.</t>
        </is>
      </c>
      <c r="G65" s="5" t="inlineStr">
        <is>
          <t>• Aplicar MFA
• políticas de contraseñas
• SSO cuando aplique
• proteger reset
• usar autenticación fuerte para admin
• monitorear intentos
• revisar excepciones.</t>
        </is>
      </c>
      <c r="H65" s="4">
        <f>IF($I65="No aplicable","No","Sí")</f>
        <v/>
      </c>
      <c r="I65" s="6" t="n"/>
      <c r="J65" s="7" t="inlineStr"/>
      <c r="K65" s="7" t="inlineStr"/>
      <c r="L65" s="6" t="inlineStr"/>
      <c r="M65" s="6" t="inlineStr"/>
      <c r="N65" s="4">
        <f>IFERROR(VLOOKUP($M65,Riesgos!$A$2:$E$200,5,FALSE),"")</f>
        <v/>
      </c>
      <c r="O65" s="8" t="n"/>
      <c r="P65" s="8" t="n"/>
      <c r="Q65" s="9" t="n"/>
      <c r="R65" s="4">
        <f>IF($H65&lt;&gt;"Sí","",IF($I65="No implementado",IF(OR($N65="Muy alto",$N65="Alto"),"ALERTA ALTA","ALERTA"),IF(AND($I65="En proceso",OR($N65="Muy alto",$N65="Alto")),"EN PROCESO (riesgo alto)","")))</f>
        <v/>
      </c>
      <c r="S65" s="7" t="inlineStr"/>
    </row>
    <row r="66" ht="48" customHeight="1">
      <c r="A66" s="4" t="inlineStr">
        <is>
          <t>A.8</t>
        </is>
      </c>
      <c r="B66" s="4" t="inlineStr">
        <is>
          <t>DOM_A8</t>
        </is>
      </c>
      <c r="C66" s="4" t="inlineStr">
        <is>
          <t>Tecnológicos</t>
        </is>
      </c>
      <c r="D66" s="4" t="inlineStr">
        <is>
          <t>A.8.6</t>
        </is>
      </c>
      <c r="E66" s="5" t="inlineStr">
        <is>
          <t>Gestión de capacidad</t>
        </is>
      </c>
      <c r="F66" s="5" t="inlineStr">
        <is>
          <t>Gestiona capacidad de sistemas para asegurar disponibilidad y rendimiento acorde a la demanda.</t>
        </is>
      </c>
      <c r="G66" s="5" t="inlineStr">
        <is>
          <t>• Monitorear uso (CPU, RAM, disco, red)
• definir umbrales y alertas
• planificar crecimiento
• pruebas de carga
• capacidad en nube
• documentar acciones.</t>
        </is>
      </c>
      <c r="H66" s="4">
        <f>IF($I66="No aplicable","No","Sí")</f>
        <v/>
      </c>
      <c r="I66" s="6" t="n"/>
      <c r="J66" s="7" t="inlineStr"/>
      <c r="K66" s="7" t="inlineStr"/>
      <c r="L66" s="6" t="inlineStr"/>
      <c r="M66" s="6" t="inlineStr"/>
      <c r="N66" s="4">
        <f>IFERROR(VLOOKUP($M66,Riesgos!$A$2:$E$200,5,FALSE),"")</f>
        <v/>
      </c>
      <c r="O66" s="8" t="n"/>
      <c r="P66" s="8" t="n"/>
      <c r="Q66" s="9" t="n"/>
      <c r="R66" s="4">
        <f>IF($H66&lt;&gt;"Sí","",IF($I66="No implementado",IF(OR($N66="Muy alto",$N66="Alto"),"ALERTA ALTA","ALERTA"),IF(AND($I66="En proceso",OR($N66="Muy alto",$N66="Alto")),"EN PROCESO (riesgo alto)","")))</f>
        <v/>
      </c>
      <c r="S66" s="7" t="inlineStr"/>
    </row>
    <row r="67" ht="48" customHeight="1">
      <c r="A67" s="4" t="inlineStr">
        <is>
          <t>A.8</t>
        </is>
      </c>
      <c r="B67" s="4" t="inlineStr">
        <is>
          <t>DOM_A8</t>
        </is>
      </c>
      <c r="C67" s="4" t="inlineStr">
        <is>
          <t>Tecnológicos</t>
        </is>
      </c>
      <c r="D67" s="4" t="inlineStr">
        <is>
          <t>A.8.7</t>
        </is>
      </c>
      <c r="E67" s="5" t="inlineStr">
        <is>
          <t>Protección contra malware</t>
        </is>
      </c>
      <c r="F67" s="5" t="inlineStr">
        <is>
          <t>Protege contra malware mediante prevención, detección y respuesta en endpoints y servidores.</t>
        </is>
      </c>
      <c r="G67" s="5" t="inlineStr">
        <is>
          <t>• Desplegar antimalware/EDR
• actualizar firmas
• escaneo programado
• bloquear macros/descargas
• segmentar y aplicar mínimos
• entrenar usuarios y registrar incidentes.</t>
        </is>
      </c>
      <c r="H67" s="4">
        <f>IF($I67="No aplicable","No","Sí")</f>
        <v/>
      </c>
      <c r="I67" s="6" t="inlineStr">
        <is>
          <t>No implementado</t>
        </is>
      </c>
      <c r="J67" s="7" t="inlineStr">
        <is>
          <t>Pendiente despliegue EDR/AV gestionado y hardening de endpoints.</t>
        </is>
      </c>
      <c r="K67" s="7" t="inlineStr">
        <is>
          <t>—</t>
        </is>
      </c>
      <c r="L67" s="6" t="inlineStr">
        <is>
          <t>TI</t>
        </is>
      </c>
      <c r="M67" s="6" t="inlineStr">
        <is>
          <t>R-003</t>
        </is>
      </c>
      <c r="N67" s="4">
        <f>IFERROR(VLOOKUP($M67,Riesgos!$A$2:$E$200,5,FALSE),"")</f>
        <v/>
      </c>
      <c r="O67" s="8" t="n">
        <v>46037</v>
      </c>
      <c r="P67" s="8" t="n">
        <v>45994</v>
      </c>
      <c r="Q67" s="9" t="n">
        <v>0</v>
      </c>
      <c r="R67" s="4">
        <f>IF($H67&lt;&gt;"Sí","",IF($I67="No implementado",IF(OR($N67="Muy alto",$N67="Alto"),"ALERTA ALTA","ALERTA"),IF(AND($I67="En proceso",OR($N67="Muy alto",$N67="Alto")),"EN PROCESO (riesgo alto)","")))</f>
        <v/>
      </c>
      <c r="S67" s="7" t="inlineStr"/>
    </row>
    <row r="68" ht="48" customHeight="1">
      <c r="A68" s="4" t="inlineStr">
        <is>
          <t>A.8</t>
        </is>
      </c>
      <c r="B68" s="4" t="inlineStr">
        <is>
          <t>DOM_A8</t>
        </is>
      </c>
      <c r="C68" s="4" t="inlineStr">
        <is>
          <t>Tecnológicos</t>
        </is>
      </c>
      <c r="D68" s="4" t="inlineStr">
        <is>
          <t>A.8.8</t>
        </is>
      </c>
      <c r="E68" s="5" t="inlineStr">
        <is>
          <t>Gestión de vulnerabilidades técnicas</t>
        </is>
      </c>
      <c r="F68" s="5" t="inlineStr">
        <is>
          <t>Gestiona vulnerabilidades técnicas identificando, evaluando y tratando debilidades en sistemas y aplicaciones.</t>
        </is>
      </c>
      <c r="G68" s="5" t="inlineStr">
        <is>
          <t>• Ejecutar escaneos periódicos
• priorizar por criticidad/exposición
• aplicar parches
• gestionar excepciones
• verificar remediación
• reportar métricas.</t>
        </is>
      </c>
      <c r="H68" s="4">
        <f>IF($I68="No aplicable","No","Sí")</f>
        <v/>
      </c>
      <c r="I68" s="6" t="n"/>
      <c r="J68" s="7" t="inlineStr"/>
      <c r="K68" s="7" t="inlineStr"/>
      <c r="L68" s="6" t="inlineStr"/>
      <c r="M68" s="6" t="inlineStr"/>
      <c r="N68" s="4">
        <f>IFERROR(VLOOKUP($M68,Riesgos!$A$2:$E$200,5,FALSE),"")</f>
        <v/>
      </c>
      <c r="O68" s="8" t="n"/>
      <c r="P68" s="8" t="n"/>
      <c r="Q68" s="9" t="n"/>
      <c r="R68" s="4">
        <f>IF($H68&lt;&gt;"Sí","",IF($I68="No implementado",IF(OR($N68="Muy alto",$N68="Alto"),"ALERTA ALTA","ALERTA"),IF(AND($I68="En proceso",OR($N68="Muy alto",$N68="Alto")),"EN PROCESO (riesgo alto)","")))</f>
        <v/>
      </c>
      <c r="S68" s="7" t="inlineStr"/>
    </row>
    <row r="69" ht="48" customHeight="1">
      <c r="A69" s="4" t="inlineStr">
        <is>
          <t>A.8</t>
        </is>
      </c>
      <c r="B69" s="4" t="inlineStr">
        <is>
          <t>DOM_A8</t>
        </is>
      </c>
      <c r="C69" s="4" t="inlineStr">
        <is>
          <t>Tecnológicos</t>
        </is>
      </c>
      <c r="D69" s="4" t="inlineStr">
        <is>
          <t>A.8.9</t>
        </is>
      </c>
      <c r="E69" s="5" t="inlineStr">
        <is>
          <t>Gestión de configuración</t>
        </is>
      </c>
      <c r="F69" s="5" t="inlineStr">
        <is>
          <t>Gestiona configuración para asegurar baselines seguros y control de cambios en sistemas, servicios y dispositivos.</t>
        </is>
      </c>
      <c r="G69" s="5" t="inlineStr">
        <is>
          <t>• Definir baseline hardening
• usar IaC/CMDB cuando aplique
• aplicar control de cambios
• validar configuración (CIS)
• registrar desviaciones
• revisar periódicamente.</t>
        </is>
      </c>
      <c r="H69" s="4">
        <f>IF($I69="No aplicable","No","Sí")</f>
        <v/>
      </c>
      <c r="I69" s="6" t="n"/>
      <c r="J69" s="7" t="inlineStr"/>
      <c r="K69" s="7" t="inlineStr"/>
      <c r="L69" s="6" t="inlineStr"/>
      <c r="M69" s="6" t="inlineStr"/>
      <c r="N69" s="4">
        <f>IFERROR(VLOOKUP($M69,Riesgos!$A$2:$E$200,5,FALSE),"")</f>
        <v/>
      </c>
      <c r="O69" s="8" t="n"/>
      <c r="P69" s="8" t="n"/>
      <c r="Q69" s="9" t="n"/>
      <c r="R69" s="4">
        <f>IF($H69&lt;&gt;"Sí","",IF($I69="No implementado",IF(OR($N69="Muy alto",$N69="Alto"),"ALERTA ALTA","ALERTA"),IF(AND($I69="En proceso",OR($N69="Muy alto",$N69="Alto")),"EN PROCESO (riesgo alto)","")))</f>
        <v/>
      </c>
      <c r="S69" s="7" t="inlineStr"/>
    </row>
    <row r="70" ht="48" customHeight="1">
      <c r="A70" s="4" t="inlineStr">
        <is>
          <t>A.8</t>
        </is>
      </c>
      <c r="B70" s="4" t="inlineStr">
        <is>
          <t>DOM_A8</t>
        </is>
      </c>
      <c r="C70" s="4" t="inlineStr">
        <is>
          <t>Tecnológicos</t>
        </is>
      </c>
      <c r="D70" s="4" t="inlineStr">
        <is>
          <t>A.8.10</t>
        </is>
      </c>
      <c r="E70" s="5" t="inlineStr">
        <is>
          <t>Eliminación/borrado seguro de información</t>
        </is>
      </c>
      <c r="F70" s="5" t="inlineStr">
        <is>
          <t>Asegura supresión/eliminación de información de forma segura cuando ya no es necesaria o al finalizar su retención.</t>
        </is>
      </c>
      <c r="G70" s="5" t="inlineStr">
        <is>
          <t>• Definir política de retención
• automatizar borrado
• usar borrado seguro según medio
• validar
• registrar evidencias
• gestionar solicitudes legales (hold).</t>
        </is>
      </c>
      <c r="H70" s="4">
        <f>IF($I70="No aplicable","No","Sí")</f>
        <v/>
      </c>
      <c r="I70" s="6" t="n"/>
      <c r="J70" s="7" t="inlineStr"/>
      <c r="K70" s="7" t="inlineStr"/>
      <c r="L70" s="6" t="inlineStr"/>
      <c r="M70" s="6" t="inlineStr"/>
      <c r="N70" s="4">
        <f>IFERROR(VLOOKUP($M70,Riesgos!$A$2:$E$200,5,FALSE),"")</f>
        <v/>
      </c>
      <c r="O70" s="8" t="n"/>
      <c r="P70" s="8" t="n"/>
      <c r="Q70" s="9" t="n"/>
      <c r="R70" s="4">
        <f>IF($H70&lt;&gt;"Sí","",IF($I70="No implementado",IF(OR($N70="Muy alto",$N70="Alto"),"ALERTA ALTA","ALERTA"),IF(AND($I70="En proceso",OR($N70="Muy alto",$N70="Alto")),"EN PROCESO (riesgo alto)","")))</f>
        <v/>
      </c>
      <c r="S70" s="7" t="inlineStr"/>
    </row>
    <row r="71" ht="48" customHeight="1">
      <c r="A71" s="4" t="inlineStr">
        <is>
          <t>A.8</t>
        </is>
      </c>
      <c r="B71" s="4" t="inlineStr">
        <is>
          <t>DOM_A8</t>
        </is>
      </c>
      <c r="C71" s="4" t="inlineStr">
        <is>
          <t>Tecnológicos</t>
        </is>
      </c>
      <c r="D71" s="4" t="inlineStr">
        <is>
          <t>A.8.11</t>
        </is>
      </c>
      <c r="E71" s="5" t="inlineStr">
        <is>
          <t>Enmascaramiento de datos</t>
        </is>
      </c>
      <c r="F71" s="5" t="inlineStr">
        <is>
          <t>Aplica enmascaramiento de datos para reducir exposición, especialmente en entornos no productivos.</t>
        </is>
      </c>
      <c r="G71" s="5" t="inlineStr">
        <is>
          <t>• Identificar datos sensibles
• definir técnicas de masking
• aplicar en copias/QA
• controlar acceso a datos sin enmascarar
• validar consistencia
• documentar excepciones.</t>
        </is>
      </c>
      <c r="H71" s="4">
        <f>IF($I71="No aplicable","No","Sí")</f>
        <v/>
      </c>
      <c r="I71" s="6" t="n"/>
      <c r="J71" s="7" t="inlineStr"/>
      <c r="K71" s="7" t="inlineStr"/>
      <c r="L71" s="6" t="inlineStr"/>
      <c r="M71" s="6" t="inlineStr"/>
      <c r="N71" s="4">
        <f>IFERROR(VLOOKUP($M71,Riesgos!$A$2:$E$200,5,FALSE),"")</f>
        <v/>
      </c>
      <c r="O71" s="8" t="n"/>
      <c r="P71" s="8" t="n"/>
      <c r="Q71" s="9" t="n"/>
      <c r="R71" s="4">
        <f>IF($H71&lt;&gt;"Sí","",IF($I71="No implementado",IF(OR($N71="Muy alto",$N71="Alto"),"ALERTA ALTA","ALERTA"),IF(AND($I71="En proceso",OR($N71="Muy alto",$N71="Alto")),"EN PROCESO (riesgo alto)","")))</f>
        <v/>
      </c>
      <c r="S71" s="7" t="inlineStr"/>
    </row>
    <row r="72" ht="48" customHeight="1">
      <c r="A72" s="4" t="inlineStr">
        <is>
          <t>A.8</t>
        </is>
      </c>
      <c r="B72" s="4" t="inlineStr">
        <is>
          <t>DOM_A8</t>
        </is>
      </c>
      <c r="C72" s="4" t="inlineStr">
        <is>
          <t>Tecnológicos</t>
        </is>
      </c>
      <c r="D72" s="4" t="inlineStr">
        <is>
          <t>A.8.12</t>
        </is>
      </c>
      <c r="E72" s="5" t="inlineStr">
        <is>
          <t>Prevención de fuga de datos (DLP)</t>
        </is>
      </c>
      <c r="F72" s="5" t="inlineStr">
        <is>
          <t>Implementa prevención de fuga de datos (DLP) para detectar y bloquear exfiltración por canales comunes.</t>
        </is>
      </c>
      <c r="G72" s="5" t="inlineStr">
        <is>
          <t>• Definir políticas DLP por clasificación
• habilitar DLP en correo/nube/endpoints
• monitorear alertas
• ajustar falsos positivos
• responder a incidentes
• reportar métricas.</t>
        </is>
      </c>
      <c r="H72" s="4">
        <f>IF($I72="No aplicable","No","Sí")</f>
        <v/>
      </c>
      <c r="I72" s="6" t="n"/>
      <c r="J72" s="7" t="inlineStr"/>
      <c r="K72" s="7" t="inlineStr"/>
      <c r="L72" s="6" t="inlineStr"/>
      <c r="M72" s="6" t="inlineStr"/>
      <c r="N72" s="4">
        <f>IFERROR(VLOOKUP($M72,Riesgos!$A$2:$E$200,5,FALSE),"")</f>
        <v/>
      </c>
      <c r="O72" s="8" t="n"/>
      <c r="P72" s="8" t="n"/>
      <c r="Q72" s="9" t="n"/>
      <c r="R72" s="4">
        <f>IF($H72&lt;&gt;"Sí","",IF($I72="No implementado",IF(OR($N72="Muy alto",$N72="Alto"),"ALERTA ALTA","ALERTA"),IF(AND($I72="En proceso",OR($N72="Muy alto",$N72="Alto")),"EN PROCESO (riesgo alto)","")))</f>
        <v/>
      </c>
      <c r="S72" s="7" t="inlineStr"/>
    </row>
    <row r="73" ht="48" customHeight="1">
      <c r="A73" s="4" t="inlineStr">
        <is>
          <t>A.8</t>
        </is>
      </c>
      <c r="B73" s="4" t="inlineStr">
        <is>
          <t>DOM_A8</t>
        </is>
      </c>
      <c r="C73" s="4" t="inlineStr">
        <is>
          <t>Tecnológicos</t>
        </is>
      </c>
      <c r="D73" s="4" t="inlineStr">
        <is>
          <t>A.8.13</t>
        </is>
      </c>
      <c r="E73" s="5" t="inlineStr">
        <is>
          <t>Respaldo (backup) de información</t>
        </is>
      </c>
      <c r="F73" s="5" t="inlineStr">
        <is>
          <t>Realiza respaldos de información para asegurar recuperación ante pérdida, corrupción o ransomware.</t>
        </is>
      </c>
      <c r="G73" s="5" t="inlineStr">
        <is>
          <t>• Definir alcance y frecuencia
• aplicar regla 3-2-1
• cifrar backups
• probar restauración
• proteger repositorio (inmutable/airgap)
• monitorear fallos.</t>
        </is>
      </c>
      <c r="H73" s="4">
        <f>IF($I73="No aplicable","No","Sí")</f>
        <v/>
      </c>
      <c r="I73" s="6" t="n"/>
      <c r="J73" s="7" t="inlineStr"/>
      <c r="K73" s="7" t="inlineStr"/>
      <c r="L73" s="6" t="inlineStr"/>
      <c r="M73" s="6" t="inlineStr"/>
      <c r="N73" s="4">
        <f>IFERROR(VLOOKUP($M73,Riesgos!$A$2:$E$200,5,FALSE),"")</f>
        <v/>
      </c>
      <c r="O73" s="8" t="n"/>
      <c r="P73" s="8" t="n"/>
      <c r="Q73" s="9" t="n"/>
      <c r="R73" s="4">
        <f>IF($H73&lt;&gt;"Sí","",IF($I73="No implementado",IF(OR($N73="Muy alto",$N73="Alto"),"ALERTA ALTA","ALERTA"),IF(AND($I73="En proceso",OR($N73="Muy alto",$N73="Alto")),"EN PROCESO (riesgo alto)","")))</f>
        <v/>
      </c>
      <c r="S73" s="7" t="inlineStr"/>
    </row>
    <row r="74" ht="48" customHeight="1">
      <c r="A74" s="4" t="inlineStr">
        <is>
          <t>A.8</t>
        </is>
      </c>
      <c r="B74" s="4" t="inlineStr">
        <is>
          <t>DOM_A8</t>
        </is>
      </c>
      <c r="C74" s="4" t="inlineStr">
        <is>
          <t>Tecnológicos</t>
        </is>
      </c>
      <c r="D74" s="4" t="inlineStr">
        <is>
          <t>A.8.14</t>
        </is>
      </c>
      <c r="E74" s="5" t="inlineStr">
        <is>
          <t>Redundancia de instalaciones de procesamiento</t>
        </is>
      </c>
      <c r="F74" s="5" t="inlineStr">
        <is>
          <t>Provee redundancia de instalaciones y componentes de procesamiento para minimizar indisponibilidad.</t>
        </is>
      </c>
      <c r="G74" s="5" t="inlineStr">
        <is>
          <t>• Diseñar alta disponibilidad
• implementar redundancia (N+1)
• failover
• pruebas periódicas
• documentar topología
• revisar tras cambios.</t>
        </is>
      </c>
      <c r="H74" s="4">
        <f>IF($I74="No aplicable","No","Sí")</f>
        <v/>
      </c>
      <c r="I74" s="6" t="n"/>
      <c r="J74" s="7" t="inlineStr"/>
      <c r="K74" s="7" t="inlineStr"/>
      <c r="L74" s="6" t="inlineStr"/>
      <c r="M74" s="6" t="inlineStr"/>
      <c r="N74" s="4">
        <f>IFERROR(VLOOKUP($M74,Riesgos!$A$2:$E$200,5,FALSE),"")</f>
        <v/>
      </c>
      <c r="O74" s="8" t="n"/>
      <c r="P74" s="8" t="n"/>
      <c r="Q74" s="9" t="n"/>
      <c r="R74" s="4">
        <f>IF($H74&lt;&gt;"Sí","",IF($I74="No implementado",IF(OR($N74="Muy alto",$N74="Alto"),"ALERTA ALTA","ALERTA"),IF(AND($I74="En proceso",OR($N74="Muy alto",$N74="Alto")),"EN PROCESO (riesgo alto)","")))</f>
        <v/>
      </c>
      <c r="S74" s="7" t="inlineStr"/>
    </row>
    <row r="75" ht="48" customHeight="1">
      <c r="A75" s="4" t="inlineStr">
        <is>
          <t>A.8</t>
        </is>
      </c>
      <c r="B75" s="4" t="inlineStr">
        <is>
          <t>DOM_A8</t>
        </is>
      </c>
      <c r="C75" s="4" t="inlineStr">
        <is>
          <t>Tecnológicos</t>
        </is>
      </c>
      <c r="D75" s="4" t="inlineStr">
        <is>
          <t>A.8.15</t>
        </is>
      </c>
      <c r="E75" s="5" t="inlineStr">
        <is>
          <t>Registro (logging) y bitácoras</t>
        </is>
      </c>
      <c r="F75" s="5" t="inlineStr">
        <is>
          <t>Registra eventos (logging) relevantes para seguridad y operación, protegiendo logs contra alteración y asegurando retención.</t>
        </is>
      </c>
      <c r="G75" s="5" t="inlineStr">
        <is>
          <t>• Definir eventos a registrar
• centralizar logs (SIEM)
• sincronizar tiempo
• proteger integridad
• retención según riesgo
• revisar y alertar sobre eventos clave.</t>
        </is>
      </c>
      <c r="H75" s="4">
        <f>IF($I75="No aplicable","No","Sí")</f>
        <v/>
      </c>
      <c r="I75" s="6" t="inlineStr">
        <is>
          <t>Implementado</t>
        </is>
      </c>
      <c r="J75" s="7" t="inlineStr">
        <is>
          <t>Centralización de logs, retención, correlación básica y revisiones periódicas.</t>
        </is>
      </c>
      <c r="K75" s="7" t="inlineStr">
        <is>
          <t>SIEM/log server; política de retención; evidencias de revisión.</t>
        </is>
      </c>
      <c r="L75" s="6" t="inlineStr">
        <is>
          <t>TI / Seguridad</t>
        </is>
      </c>
      <c r="M75" s="6" t="inlineStr">
        <is>
          <t>R-010</t>
        </is>
      </c>
      <c r="N75" s="4">
        <f>IFERROR(VLOOKUP($M75,Riesgos!$A$2:$E$200,5,FALSE),"")</f>
        <v/>
      </c>
      <c r="O75" s="8" t="n">
        <v>46022</v>
      </c>
      <c r="P75" s="8" t="n">
        <v>46009</v>
      </c>
      <c r="Q75" s="9" t="n">
        <v>1</v>
      </c>
      <c r="R75" s="4">
        <f>IF($H75&lt;&gt;"Sí","",IF($I75="No implementado",IF(OR($N75="Muy alto",$N75="Alto"),"ALERTA ALTA","ALERTA"),IF(AND($I75="En proceso",OR($N75="Muy alto",$N75="Alto")),"EN PROCESO (riesgo alto)","")))</f>
        <v/>
      </c>
      <c r="S75" s="7" t="inlineStr"/>
    </row>
    <row r="76" ht="48" customHeight="1">
      <c r="A76" s="4" t="inlineStr">
        <is>
          <t>A.8</t>
        </is>
      </c>
      <c r="B76" s="4" t="inlineStr">
        <is>
          <t>DOM_A8</t>
        </is>
      </c>
      <c r="C76" s="4" t="inlineStr">
        <is>
          <t>Tecnológicos</t>
        </is>
      </c>
      <c r="D76" s="4" t="inlineStr">
        <is>
          <t>A.8.16</t>
        </is>
      </c>
      <c r="E76" s="5" t="inlineStr">
        <is>
          <t>Actividades de monitoreo</t>
        </is>
      </c>
      <c r="F76" s="5" t="inlineStr">
        <is>
          <t>Monitorea actividades y eventos para detectar anomalías y responder oportunamente.</t>
        </is>
      </c>
      <c r="G76" s="5" t="inlineStr">
        <is>
          <t>• Definir casos de uso
• monitorear sistemas/red
• correlacionar en SIEM
• alertas y runbooks
• revisar continuamente
• medir MTTA/MTTR.</t>
        </is>
      </c>
      <c r="H76" s="4">
        <f>IF($I76="No aplicable","No","Sí")</f>
        <v/>
      </c>
      <c r="I76" s="6" t="n"/>
      <c r="J76" s="7" t="inlineStr"/>
      <c r="K76" s="7" t="inlineStr"/>
      <c r="L76" s="6" t="inlineStr"/>
      <c r="M76" s="6" t="inlineStr"/>
      <c r="N76" s="4">
        <f>IFERROR(VLOOKUP($M76,Riesgos!$A$2:$E$200,5,FALSE),"")</f>
        <v/>
      </c>
      <c r="O76" s="8" t="n"/>
      <c r="P76" s="8" t="n"/>
      <c r="Q76" s="9" t="n"/>
      <c r="R76" s="4">
        <f>IF($H76&lt;&gt;"Sí","",IF($I76="No implementado",IF(OR($N76="Muy alto",$N76="Alto"),"ALERTA ALTA","ALERTA"),IF(AND($I76="En proceso",OR($N76="Muy alto",$N76="Alto")),"EN PROCESO (riesgo alto)","")))</f>
        <v/>
      </c>
      <c r="S76" s="7" t="inlineStr"/>
    </row>
    <row r="77" ht="48" customHeight="1">
      <c r="A77" s="4" t="inlineStr">
        <is>
          <t>A.8</t>
        </is>
      </c>
      <c r="B77" s="4" t="inlineStr">
        <is>
          <t>DOM_A8</t>
        </is>
      </c>
      <c r="C77" s="4" t="inlineStr">
        <is>
          <t>Tecnológicos</t>
        </is>
      </c>
      <c r="D77" s="4" t="inlineStr">
        <is>
          <t>A.8.17</t>
        </is>
      </c>
      <c r="E77" s="5" t="inlineStr">
        <is>
          <t>Sincronización de relojes</t>
        </is>
      </c>
      <c r="F77" s="5" t="inlineStr">
        <is>
          <t>Sincroniza relojes de sistemas para asegurar consistencia en registros, auditoría e investigaciones.</t>
        </is>
      </c>
      <c r="G77" s="5" t="inlineStr">
        <is>
          <t>• Configurar NTP/PTP
• definir fuentes confiables
• monitorear desviaciones
• aplicar en todos los sistemas críticos
• documentar y auditar cumplimiento.</t>
        </is>
      </c>
      <c r="H77" s="4">
        <f>IF($I77="No aplicable","No","Sí")</f>
        <v/>
      </c>
      <c r="I77" s="6" t="n"/>
      <c r="J77" s="7" t="inlineStr"/>
      <c r="K77" s="7" t="inlineStr"/>
      <c r="L77" s="6" t="inlineStr"/>
      <c r="M77" s="6" t="inlineStr"/>
      <c r="N77" s="4">
        <f>IFERROR(VLOOKUP($M77,Riesgos!$A$2:$E$200,5,FALSE),"")</f>
        <v/>
      </c>
      <c r="O77" s="8" t="n"/>
      <c r="P77" s="8" t="n"/>
      <c r="Q77" s="9" t="n"/>
      <c r="R77" s="4">
        <f>IF($H77&lt;&gt;"Sí","",IF($I77="No implementado",IF(OR($N77="Muy alto",$N77="Alto"),"ALERTA ALTA","ALERTA"),IF(AND($I77="En proceso",OR($N77="Muy alto",$N77="Alto")),"EN PROCESO (riesgo alto)","")))</f>
        <v/>
      </c>
      <c r="S77" s="7" t="inlineStr"/>
    </row>
    <row r="78" ht="48" customHeight="1">
      <c r="A78" s="4" t="inlineStr">
        <is>
          <t>A.8</t>
        </is>
      </c>
      <c r="B78" s="4" t="inlineStr">
        <is>
          <t>DOM_A8</t>
        </is>
      </c>
      <c r="C78" s="4" t="inlineStr">
        <is>
          <t>Tecnológicos</t>
        </is>
      </c>
      <c r="D78" s="4" t="inlineStr">
        <is>
          <t>A.8.18</t>
        </is>
      </c>
      <c r="E78" s="5" t="inlineStr">
        <is>
          <t>Uso de utilidades privilegiadas</t>
        </is>
      </c>
      <c r="F78" s="5" t="inlineStr">
        <is>
          <t>Controla el uso de utilidades/programas privilegiados que pueden evadir controles o escalar privilegios.</t>
        </is>
      </c>
      <c r="G78" s="5" t="inlineStr">
        <is>
          <t>• Inventariar utilidades privilegiadas
• restringir instalación/ejecución
• aprobar uso
• registrar sesiones/comandos
• revisar periódicamente
• aplicar hardening.</t>
        </is>
      </c>
      <c r="H78" s="4">
        <f>IF($I78="No aplicable","No","Sí")</f>
        <v/>
      </c>
      <c r="I78" s="6" t="n"/>
      <c r="J78" s="7" t="inlineStr"/>
      <c r="K78" s="7" t="inlineStr"/>
      <c r="L78" s="6" t="inlineStr"/>
      <c r="M78" s="6" t="inlineStr"/>
      <c r="N78" s="4">
        <f>IFERROR(VLOOKUP($M78,Riesgos!$A$2:$E$200,5,FALSE),"")</f>
        <v/>
      </c>
      <c r="O78" s="8" t="n"/>
      <c r="P78" s="8" t="n"/>
      <c r="Q78" s="9" t="n"/>
      <c r="R78" s="4">
        <f>IF($H78&lt;&gt;"Sí","",IF($I78="No implementado",IF(OR($N78="Muy alto",$N78="Alto"),"ALERTA ALTA","ALERTA"),IF(AND($I78="En proceso",OR($N78="Muy alto",$N78="Alto")),"EN PROCESO (riesgo alto)","")))</f>
        <v/>
      </c>
      <c r="S78" s="7" t="inlineStr"/>
    </row>
    <row r="79" ht="48" customHeight="1">
      <c r="A79" s="4" t="inlineStr">
        <is>
          <t>A.8</t>
        </is>
      </c>
      <c r="B79" s="4" t="inlineStr">
        <is>
          <t>DOM_A8</t>
        </is>
      </c>
      <c r="C79" s="4" t="inlineStr">
        <is>
          <t>Tecnológicos</t>
        </is>
      </c>
      <c r="D79" s="4" t="inlineStr">
        <is>
          <t>A.8.19</t>
        </is>
      </c>
      <c r="E79" s="5" t="inlineStr">
        <is>
          <t>Instalación de software en sistemas operativos</t>
        </is>
      </c>
      <c r="F79" s="5" t="inlineStr">
        <is>
          <t>Controla instalación de software en sistemas operativos para reducir riesgo por software no autorizado o malicioso.</t>
        </is>
      </c>
      <c r="G79" s="5" t="inlineStr">
        <is>
          <t>• Definir proceso de aprobación
• usar allowlisting
• limitar permisos de instalación
• gestionar repositorios
• revisar inventario
• eliminar software no autorizado.</t>
        </is>
      </c>
      <c r="H79" s="4">
        <f>IF($I79="No aplicable","No","Sí")</f>
        <v/>
      </c>
      <c r="I79" s="6" t="n"/>
      <c r="J79" s="7" t="inlineStr"/>
      <c r="K79" s="7" t="inlineStr"/>
      <c r="L79" s="6" t="inlineStr"/>
      <c r="M79" s="6" t="inlineStr"/>
      <c r="N79" s="4">
        <f>IFERROR(VLOOKUP($M79,Riesgos!$A$2:$E$200,5,FALSE),"")</f>
        <v/>
      </c>
      <c r="O79" s="8" t="n"/>
      <c r="P79" s="8" t="n"/>
      <c r="Q79" s="9" t="n"/>
      <c r="R79" s="4">
        <f>IF($H79&lt;&gt;"Sí","",IF($I79="No implementado",IF(OR($N79="Muy alto",$N79="Alto"),"ALERTA ALTA","ALERTA"),IF(AND($I79="En proceso",OR($N79="Muy alto",$N79="Alto")),"EN PROCESO (riesgo alto)","")))</f>
        <v/>
      </c>
      <c r="S79" s="7" t="inlineStr"/>
    </row>
    <row r="80" ht="48" customHeight="1">
      <c r="A80" s="4" t="inlineStr">
        <is>
          <t>A.8</t>
        </is>
      </c>
      <c r="B80" s="4" t="inlineStr">
        <is>
          <t>DOM_A8</t>
        </is>
      </c>
      <c r="C80" s="4" t="inlineStr">
        <is>
          <t>Tecnológicos</t>
        </is>
      </c>
      <c r="D80" s="4" t="inlineStr">
        <is>
          <t>A.8.20</t>
        </is>
      </c>
      <c r="E80" s="5" t="inlineStr">
        <is>
          <t>Seguridad de redes</t>
        </is>
      </c>
      <c r="F80" s="5" t="inlineStr">
        <is>
          <t>Asegura redes mediante diseño, controles de borde, segmentación, cifrado y configuración segura.</t>
        </is>
      </c>
      <c r="G80" s="5" t="inlineStr">
        <is>
          <t>• Implementar firewalls y reglas
• segmentar VLANs
• cifrar comunicaciones
• hardening de equipos de red
• revisar configuraciones
• monitorear tráfico y cambios.</t>
        </is>
      </c>
      <c r="H80" s="4">
        <f>IF($I80="No aplicable","No","Sí")</f>
        <v/>
      </c>
      <c r="I80" s="6" t="n"/>
      <c r="J80" s="7" t="inlineStr"/>
      <c r="K80" s="7" t="inlineStr"/>
      <c r="L80" s="6" t="inlineStr"/>
      <c r="M80" s="6" t="inlineStr"/>
      <c r="N80" s="4">
        <f>IFERROR(VLOOKUP($M80,Riesgos!$A$2:$E$200,5,FALSE),"")</f>
        <v/>
      </c>
      <c r="O80" s="8" t="n"/>
      <c r="P80" s="8" t="n"/>
      <c r="Q80" s="9" t="n"/>
      <c r="R80" s="4">
        <f>IF($H80&lt;&gt;"Sí","",IF($I80="No implementado",IF(OR($N80="Muy alto",$N80="Alto"),"ALERTA ALTA","ALERTA"),IF(AND($I80="En proceso",OR($N80="Muy alto",$N80="Alto")),"EN PROCESO (riesgo alto)","")))</f>
        <v/>
      </c>
      <c r="S80" s="7" t="inlineStr"/>
    </row>
    <row r="81" ht="48" customHeight="1">
      <c r="A81" s="4" t="inlineStr">
        <is>
          <t>A.8</t>
        </is>
      </c>
      <c r="B81" s="4" t="inlineStr">
        <is>
          <t>DOM_A8</t>
        </is>
      </c>
      <c r="C81" s="4" t="inlineStr">
        <is>
          <t>Tecnológicos</t>
        </is>
      </c>
      <c r="D81" s="4" t="inlineStr">
        <is>
          <t>A.8.21</t>
        </is>
      </c>
      <c r="E81" s="5" t="inlineStr">
        <is>
          <t>Seguridad de servicios de red</t>
        </is>
      </c>
      <c r="F81" s="5" t="inlineStr">
        <is>
          <t>Asegura servicios de red (internos o de terceros) definiendo requisitos y monitoreando cumplimiento.</t>
        </is>
      </c>
      <c r="G81" s="5" t="inlineStr">
        <is>
          <t>• Definir requisitos para DNS, DHCP, VPN, WiFi, etc.
• acordar SLA con proveedores
• monitorear disponibilidad y seguridad
• registrar cambios
• auditar configuraciones.</t>
        </is>
      </c>
      <c r="H81" s="4">
        <f>IF($I81="No aplicable","No","Sí")</f>
        <v/>
      </c>
      <c r="I81" s="6" t="n"/>
      <c r="J81" s="7" t="inlineStr"/>
      <c r="K81" s="7" t="inlineStr"/>
      <c r="L81" s="6" t="inlineStr"/>
      <c r="M81" s="6" t="inlineStr"/>
      <c r="N81" s="4">
        <f>IFERROR(VLOOKUP($M81,Riesgos!$A$2:$E$200,5,FALSE),"")</f>
        <v/>
      </c>
      <c r="O81" s="8" t="n"/>
      <c r="P81" s="8" t="n"/>
      <c r="Q81" s="9" t="n"/>
      <c r="R81" s="4">
        <f>IF($H81&lt;&gt;"Sí","",IF($I81="No implementado",IF(OR($N81="Muy alto",$N81="Alto"),"ALERTA ALTA","ALERTA"),IF(AND($I81="En proceso",OR($N81="Muy alto",$N81="Alto")),"EN PROCESO (riesgo alto)","")))</f>
        <v/>
      </c>
      <c r="S81" s="7" t="inlineStr"/>
    </row>
    <row r="82" ht="48" customHeight="1">
      <c r="A82" s="4" t="inlineStr">
        <is>
          <t>A.8</t>
        </is>
      </c>
      <c r="B82" s="4" t="inlineStr">
        <is>
          <t>DOM_A8</t>
        </is>
      </c>
      <c r="C82" s="4" t="inlineStr">
        <is>
          <t>Tecnológicos</t>
        </is>
      </c>
      <c r="D82" s="4" t="inlineStr">
        <is>
          <t>A.8.22</t>
        </is>
      </c>
      <c r="E82" s="5" t="inlineStr">
        <is>
          <t>Segregación de redes</t>
        </is>
      </c>
      <c r="F82" s="5" t="inlineStr">
        <is>
          <t>Segrega redes para limitar movimientos laterales y separar entornos por nivel de confianza.</t>
        </is>
      </c>
      <c r="G82" s="5" t="inlineStr">
        <is>
          <t>• Diseñar zonas (prod, dev, usuarios, invitados)
• implementar segmentación (VLAN/VRF)
• aplicar ACL y microsegmentación
• revisar reglas
• probar aislamiento.</t>
        </is>
      </c>
      <c r="H82" s="4">
        <f>IF($I82="No aplicable","No","Sí")</f>
        <v/>
      </c>
      <c r="I82" s="6" t="n"/>
      <c r="J82" s="7" t="inlineStr"/>
      <c r="K82" s="7" t="inlineStr"/>
      <c r="L82" s="6" t="inlineStr"/>
      <c r="M82" s="6" t="inlineStr"/>
      <c r="N82" s="4">
        <f>IFERROR(VLOOKUP($M82,Riesgos!$A$2:$E$200,5,FALSE),"")</f>
        <v/>
      </c>
      <c r="O82" s="8" t="n"/>
      <c r="P82" s="8" t="n"/>
      <c r="Q82" s="9" t="n"/>
      <c r="R82" s="4">
        <f>IF($H82&lt;&gt;"Sí","",IF($I82="No implementado",IF(OR($N82="Muy alto",$N82="Alto"),"ALERTA ALTA","ALERTA"),IF(AND($I82="En proceso",OR($N82="Muy alto",$N82="Alto")),"EN PROCESO (riesgo alto)","")))</f>
        <v/>
      </c>
      <c r="S82" s="7" t="inlineStr"/>
    </row>
    <row r="83" ht="48" customHeight="1">
      <c r="A83" s="4" t="inlineStr">
        <is>
          <t>A.8</t>
        </is>
      </c>
      <c r="B83" s="4" t="inlineStr">
        <is>
          <t>DOM_A8</t>
        </is>
      </c>
      <c r="C83" s="4" t="inlineStr">
        <is>
          <t>Tecnológicos</t>
        </is>
      </c>
      <c r="D83" s="4" t="inlineStr">
        <is>
          <t>A.8.23</t>
        </is>
      </c>
      <c r="E83" s="5" t="inlineStr">
        <is>
          <t>Filtrado web</t>
        </is>
      </c>
      <c r="F83" s="5" t="inlineStr">
        <is>
          <t>Aplica filtrado web para reducir acceso a sitios maliciosos y controlar categorías según política.</t>
        </is>
      </c>
      <c r="G83" s="5" t="inlineStr">
        <is>
          <t>• Definir categorías permitidas/bloqueadas
• desplegar proxy/secure web gateway
• aplicar inspección TLS donde aplique
• registrar y revisar
• manejar excepciones.</t>
        </is>
      </c>
      <c r="H83" s="4">
        <f>IF($I83="No aplicable","No","Sí")</f>
        <v/>
      </c>
      <c r="I83" s="6" t="n"/>
      <c r="J83" s="7" t="inlineStr"/>
      <c r="K83" s="7" t="inlineStr"/>
      <c r="L83" s="6" t="inlineStr"/>
      <c r="M83" s="6" t="inlineStr"/>
      <c r="N83" s="4">
        <f>IFERROR(VLOOKUP($M83,Riesgos!$A$2:$E$200,5,FALSE),"")</f>
        <v/>
      </c>
      <c r="O83" s="8" t="n"/>
      <c r="P83" s="8" t="n"/>
      <c r="Q83" s="9" t="n"/>
      <c r="R83" s="4">
        <f>IF($H83&lt;&gt;"Sí","",IF($I83="No implementado",IF(OR($N83="Muy alto",$N83="Alto"),"ALERTA ALTA","ALERTA"),IF(AND($I83="En proceso",OR($N83="Muy alto",$N83="Alto")),"EN PROCESO (riesgo alto)","")))</f>
        <v/>
      </c>
      <c r="S83" s="7" t="inlineStr"/>
    </row>
    <row r="84" ht="48" customHeight="1">
      <c r="A84" s="4" t="inlineStr">
        <is>
          <t>A.8</t>
        </is>
      </c>
      <c r="B84" s="4" t="inlineStr">
        <is>
          <t>DOM_A8</t>
        </is>
      </c>
      <c r="C84" s="4" t="inlineStr">
        <is>
          <t>Tecnológicos</t>
        </is>
      </c>
      <c r="D84" s="4" t="inlineStr">
        <is>
          <t>A.8.24</t>
        </is>
      </c>
      <c r="E84" s="5" t="inlineStr">
        <is>
          <t>Uso de criptografía</t>
        </is>
      </c>
      <c r="F84" s="5" t="inlineStr">
        <is>
          <t>Usa criptografía apropiada para proteger confidencialidad e integridad, con gestión de claves segura.</t>
        </is>
      </c>
      <c r="G84" s="5" t="inlineStr">
        <is>
          <t>• Definir política criptográfica
• cifrar datos en tránsito y reposo
• gestionar claves (HSM/KMS)
• rotación y revocación
• controlar acceso a llaves
• auditar uso.</t>
        </is>
      </c>
      <c r="H84" s="4">
        <f>IF($I84="No aplicable","No","Sí")</f>
        <v/>
      </c>
      <c r="I84" s="6" t="n"/>
      <c r="J84" s="7" t="inlineStr"/>
      <c r="K84" s="7" t="inlineStr"/>
      <c r="L84" s="6" t="inlineStr"/>
      <c r="M84" s="6" t="inlineStr"/>
      <c r="N84" s="4">
        <f>IFERROR(VLOOKUP($M84,Riesgos!$A$2:$E$200,5,FALSE),"")</f>
        <v/>
      </c>
      <c r="O84" s="8" t="n"/>
      <c r="P84" s="8" t="n"/>
      <c r="Q84" s="9" t="n"/>
      <c r="R84" s="4">
        <f>IF($H84&lt;&gt;"Sí","",IF($I84="No implementado",IF(OR($N84="Muy alto",$N84="Alto"),"ALERTA ALTA","ALERTA"),IF(AND($I84="En proceso",OR($N84="Muy alto",$N84="Alto")),"EN PROCESO (riesgo alto)","")))</f>
        <v/>
      </c>
      <c r="S84" s="7" t="inlineStr"/>
    </row>
    <row r="85" ht="48" customHeight="1">
      <c r="A85" s="4" t="inlineStr">
        <is>
          <t>A.8</t>
        </is>
      </c>
      <c r="B85" s="4" t="inlineStr">
        <is>
          <t>DOM_A8</t>
        </is>
      </c>
      <c r="C85" s="4" t="inlineStr">
        <is>
          <t>Tecnológicos</t>
        </is>
      </c>
      <c r="D85" s="4" t="inlineStr">
        <is>
          <t>A.8.25</t>
        </is>
      </c>
      <c r="E85" s="5" t="inlineStr">
        <is>
          <t>Ciclo de vida de desarrollo seguro (SDLC)</t>
        </is>
      </c>
      <c r="F85" s="5" t="inlineStr">
        <is>
          <t>Integra seguridad en el ciclo de vida de desarrollo (SSDLC) para prevenir vulnerabilidades desde el diseño.</t>
        </is>
      </c>
      <c r="G85" s="5" t="inlineStr">
        <is>
          <t>• Definir SDLC seguro
• incorporar threat modeling
• requisitos y revisiones
• pipelines con SAST/DAST
• gestión de dependencias
• gates antes de producción.</t>
        </is>
      </c>
      <c r="H85" s="4">
        <f>IF($I85="No aplicable","No","Sí")</f>
        <v/>
      </c>
      <c r="I85" s="6" t="n"/>
      <c r="J85" s="7" t="inlineStr"/>
      <c r="K85" s="7" t="inlineStr"/>
      <c r="L85" s="6" t="inlineStr"/>
      <c r="M85" s="6" t="inlineStr"/>
      <c r="N85" s="4">
        <f>IFERROR(VLOOKUP($M85,Riesgos!$A$2:$E$200,5,FALSE),"")</f>
        <v/>
      </c>
      <c r="O85" s="8" t="n"/>
      <c r="P85" s="8" t="n"/>
      <c r="Q85" s="9" t="n"/>
      <c r="R85" s="4">
        <f>IF($H85&lt;&gt;"Sí","",IF($I85="No implementado",IF(OR($N85="Muy alto",$N85="Alto"),"ALERTA ALTA","ALERTA"),IF(AND($I85="En proceso",OR($N85="Muy alto",$N85="Alto")),"EN PROCESO (riesgo alto)","")))</f>
        <v/>
      </c>
      <c r="S85" s="7" t="inlineStr"/>
    </row>
    <row r="86" ht="48" customHeight="1">
      <c r="A86" s="4" t="inlineStr">
        <is>
          <t>A.8</t>
        </is>
      </c>
      <c r="B86" s="4" t="inlineStr">
        <is>
          <t>DOM_A8</t>
        </is>
      </c>
      <c r="C86" s="4" t="inlineStr">
        <is>
          <t>Tecnológicos</t>
        </is>
      </c>
      <c r="D86" s="4" t="inlineStr">
        <is>
          <t>A.8.26</t>
        </is>
      </c>
      <c r="E86" s="5" t="inlineStr">
        <is>
          <t>Requisitos de seguridad de aplicaciones</t>
        </is>
      </c>
      <c r="F86" s="5" t="inlineStr">
        <is>
          <t>Define requisitos de seguridad de aplicaciones (funcionales y no funcionales) basados en riesgos y cumplimiento.</t>
        </is>
      </c>
      <c r="G86" s="5" t="inlineStr">
        <is>
          <t>• Levantar requisitos (auth, logging, cifrado)
• definir criterios de aceptación
• revisar diseño
• documentar requisitos por aplicación
• validar en pruebas
• gestionar cambios.</t>
        </is>
      </c>
      <c r="H86" s="4">
        <f>IF($I86="No aplicable","No","Sí")</f>
        <v/>
      </c>
      <c r="I86" s="6" t="n"/>
      <c r="J86" s="7" t="inlineStr"/>
      <c r="K86" s="7" t="inlineStr"/>
      <c r="L86" s="6" t="inlineStr"/>
      <c r="M86" s="6" t="inlineStr"/>
      <c r="N86" s="4">
        <f>IFERROR(VLOOKUP($M86,Riesgos!$A$2:$E$200,5,FALSE),"")</f>
        <v/>
      </c>
      <c r="O86" s="8" t="n"/>
      <c r="P86" s="8" t="n"/>
      <c r="Q86" s="9" t="n"/>
      <c r="R86" s="4">
        <f>IF($H86&lt;&gt;"Sí","",IF($I86="No implementado",IF(OR($N86="Muy alto",$N86="Alto"),"ALERTA ALTA","ALERTA"),IF(AND($I86="En proceso",OR($N86="Muy alto",$N86="Alto")),"EN PROCESO (riesgo alto)","")))</f>
        <v/>
      </c>
      <c r="S86" s="7" t="inlineStr"/>
    </row>
    <row r="87" ht="48" customHeight="1">
      <c r="A87" s="4" t="inlineStr">
        <is>
          <t>A.8</t>
        </is>
      </c>
      <c r="B87" s="4" t="inlineStr">
        <is>
          <t>DOM_A8</t>
        </is>
      </c>
      <c r="C87" s="4" t="inlineStr">
        <is>
          <t>Tecnológicos</t>
        </is>
      </c>
      <c r="D87" s="4" t="inlineStr">
        <is>
          <t>A.8.27</t>
        </is>
      </c>
      <c r="E87" s="5" t="inlineStr">
        <is>
          <t>Arquitectura e ingeniería de sistemas seguros</t>
        </is>
      </c>
      <c r="F87" s="5" t="inlineStr">
        <is>
          <t>Aplica principios de arquitectura e ingeniería segura para sistemas, reduciendo exposición y garantizando controles transversales.</t>
        </is>
      </c>
      <c r="G87" s="5" t="inlineStr">
        <is>
          <t>• Definir principios (least privilege, defense-in-depth)
• revisar arquitecturas
• usar patrones seguros
• segmentación y aislamiento
• revisiones por pares
• registrar decisiones.</t>
        </is>
      </c>
      <c r="H87" s="4">
        <f>IF($I87="No aplicable","No","Sí")</f>
        <v/>
      </c>
      <c r="I87" s="6" t="n"/>
      <c r="J87" s="7" t="inlineStr"/>
      <c r="K87" s="7" t="inlineStr"/>
      <c r="L87" s="6" t="inlineStr"/>
      <c r="M87" s="6" t="inlineStr"/>
      <c r="N87" s="4">
        <f>IFERROR(VLOOKUP($M87,Riesgos!$A$2:$E$200,5,FALSE),"")</f>
        <v/>
      </c>
      <c r="O87" s="8" t="n"/>
      <c r="P87" s="8" t="n"/>
      <c r="Q87" s="9" t="n"/>
      <c r="R87" s="4">
        <f>IF($H87&lt;&gt;"Sí","",IF($I87="No implementado",IF(OR($N87="Muy alto",$N87="Alto"),"ALERTA ALTA","ALERTA"),IF(AND($I87="En proceso",OR($N87="Muy alto",$N87="Alto")),"EN PROCESO (riesgo alto)","")))</f>
        <v/>
      </c>
      <c r="S87" s="7" t="inlineStr"/>
    </row>
    <row r="88" ht="48" customHeight="1">
      <c r="A88" s="4" t="inlineStr">
        <is>
          <t>A.8</t>
        </is>
      </c>
      <c r="B88" s="4" t="inlineStr">
        <is>
          <t>DOM_A8</t>
        </is>
      </c>
      <c r="C88" s="4" t="inlineStr">
        <is>
          <t>Tecnológicos</t>
        </is>
      </c>
      <c r="D88" s="4" t="inlineStr">
        <is>
          <t>A.8.28</t>
        </is>
      </c>
      <c r="E88" s="5" t="inlineStr">
        <is>
          <t>Codificación segura</t>
        </is>
      </c>
      <c r="F88" s="5" t="inlineStr">
        <is>
          <t>Establece prácticas de codificación segura para prevenir vulnerabilidades comunes y asegurar calidad de código.</t>
        </is>
      </c>
      <c r="G88" s="5" t="inlineStr">
        <is>
          <t>• Definir estándares (OWASP)
• capacitación a devs
• revisiones de código
• SAST
• manejo de secretos
• listas de verificación
• corrección y seguimiento.</t>
        </is>
      </c>
      <c r="H88" s="4">
        <f>IF($I88="No aplicable","No","Sí")</f>
        <v/>
      </c>
      <c r="I88" s="6" t="n"/>
      <c r="J88" s="7" t="inlineStr"/>
      <c r="K88" s="7" t="inlineStr"/>
      <c r="L88" s="6" t="inlineStr"/>
      <c r="M88" s="6" t="inlineStr"/>
      <c r="N88" s="4">
        <f>IFERROR(VLOOKUP($M88,Riesgos!$A$2:$E$200,5,FALSE),"")</f>
        <v/>
      </c>
      <c r="O88" s="8" t="n"/>
      <c r="P88" s="8" t="n"/>
      <c r="Q88" s="9" t="n"/>
      <c r="R88" s="4">
        <f>IF($H88&lt;&gt;"Sí","",IF($I88="No implementado",IF(OR($N88="Muy alto",$N88="Alto"),"ALERTA ALTA","ALERTA"),IF(AND($I88="En proceso",OR($N88="Muy alto",$N88="Alto")),"EN PROCESO (riesgo alto)","")))</f>
        <v/>
      </c>
      <c r="S88" s="7" t="inlineStr"/>
    </row>
    <row r="89" ht="48" customHeight="1">
      <c r="A89" s="4" t="inlineStr">
        <is>
          <t>A.8</t>
        </is>
      </c>
      <c r="B89" s="4" t="inlineStr">
        <is>
          <t>DOM_A8</t>
        </is>
      </c>
      <c r="C89" s="4" t="inlineStr">
        <is>
          <t>Tecnológicos</t>
        </is>
      </c>
      <c r="D89" s="4" t="inlineStr">
        <is>
          <t>A.8.29</t>
        </is>
      </c>
      <c r="E89" s="5" t="inlineStr">
        <is>
          <t>Pruebas de seguridad en desarrollo y aceptación</t>
        </is>
      </c>
      <c r="F89" s="5" t="inlineStr">
        <is>
          <t>Realiza pruebas de seguridad en desarrollo y aceptación para validar que controles y requisitos se cumplen antes del despliegue.</t>
        </is>
      </c>
      <c r="G89" s="5" t="inlineStr">
        <is>
          <t>• Plan de pruebas (SAST/DAST/IAST)
• pruebas de penetración según criticidad
• análisis de dependencias
• corregir hallazgos
• retestar
• aprobar release.</t>
        </is>
      </c>
      <c r="H89" s="4">
        <f>IF($I89="No aplicable","No","Sí")</f>
        <v/>
      </c>
      <c r="I89" s="6" t="n"/>
      <c r="J89" s="7" t="inlineStr"/>
      <c r="K89" s="7" t="inlineStr"/>
      <c r="L89" s="6" t="inlineStr"/>
      <c r="M89" s="6" t="inlineStr"/>
      <c r="N89" s="4">
        <f>IFERROR(VLOOKUP($M89,Riesgos!$A$2:$E$200,5,FALSE),"")</f>
        <v/>
      </c>
      <c r="O89" s="8" t="n"/>
      <c r="P89" s="8" t="n"/>
      <c r="Q89" s="9" t="n"/>
      <c r="R89" s="4">
        <f>IF($H89&lt;&gt;"Sí","",IF($I89="No implementado",IF(OR($N89="Muy alto",$N89="Alto"),"ALERTA ALTA","ALERTA"),IF(AND($I89="En proceso",OR($N89="Muy alto",$N89="Alto")),"EN PROCESO (riesgo alto)","")))</f>
        <v/>
      </c>
      <c r="S89" s="7" t="inlineStr"/>
    </row>
    <row r="90" ht="48" customHeight="1">
      <c r="A90" s="4" t="inlineStr">
        <is>
          <t>A.8</t>
        </is>
      </c>
      <c r="B90" s="4" t="inlineStr">
        <is>
          <t>DOM_A8</t>
        </is>
      </c>
      <c r="C90" s="4" t="inlineStr">
        <is>
          <t>Tecnológicos</t>
        </is>
      </c>
      <c r="D90" s="4" t="inlineStr">
        <is>
          <t>A.8.30</t>
        </is>
      </c>
      <c r="E90" s="5" t="inlineStr">
        <is>
          <t>Desarrollo externalizado (outsourcing)</t>
        </is>
      </c>
      <c r="F90" s="5" t="inlineStr">
        <is>
          <t>Gestiona desarrollo externo asegurando que proveedores siguen requisitos de seguridad, y que el código/entregables son verificados.</t>
        </is>
      </c>
      <c r="G90" s="5" t="inlineStr">
        <is>
          <t>• Definir requisitos contractuales
• controlar acceso del proveedor
• revisar entregables
• exigir evidencias de pruebas
• gestionar repositorios y secretos
• validar en aceptación.</t>
        </is>
      </c>
      <c r="H90" s="4">
        <f>IF($I90="No aplicable","No","Sí")</f>
        <v/>
      </c>
      <c r="I90" s="6" t="n"/>
      <c r="J90" s="7" t="inlineStr"/>
      <c r="K90" s="7" t="inlineStr"/>
      <c r="L90" s="6" t="inlineStr"/>
      <c r="M90" s="6" t="inlineStr"/>
      <c r="N90" s="4">
        <f>IFERROR(VLOOKUP($M90,Riesgos!$A$2:$E$200,5,FALSE),"")</f>
        <v/>
      </c>
      <c r="O90" s="8" t="n"/>
      <c r="P90" s="8" t="n"/>
      <c r="Q90" s="9" t="n"/>
      <c r="R90" s="4">
        <f>IF($H90&lt;&gt;"Sí","",IF($I90="No implementado",IF(OR($N90="Muy alto",$N90="Alto"),"ALERTA ALTA","ALERTA"),IF(AND($I90="En proceso",OR($N90="Muy alto",$N90="Alto")),"EN PROCESO (riesgo alto)","")))</f>
        <v/>
      </c>
      <c r="S90" s="7" t="inlineStr"/>
    </row>
    <row r="91" ht="48" customHeight="1">
      <c r="A91" s="4" t="inlineStr">
        <is>
          <t>A.8</t>
        </is>
      </c>
      <c r="B91" s="4" t="inlineStr">
        <is>
          <t>DOM_A8</t>
        </is>
      </c>
      <c r="C91" s="4" t="inlineStr">
        <is>
          <t>Tecnológicos</t>
        </is>
      </c>
      <c r="D91" s="4" t="inlineStr">
        <is>
          <t>A.8.31</t>
        </is>
      </c>
      <c r="E91" s="5" t="inlineStr">
        <is>
          <t>Separación de entornos dev/test/prod</t>
        </is>
      </c>
      <c r="F91" s="5" t="inlineStr">
        <is>
          <t>Separa entornos de desarrollo, prueba y producción para evitar contaminación, fuga de datos o cambios no autorizados.</t>
        </is>
      </c>
      <c r="G91" s="5" t="inlineStr">
        <is>
          <t>• Diseñar separación lógica/física
• restringir accesos
• controlar datos de prueba
• pipeline controlado
• monitorear transferencias
• auditar permisos.</t>
        </is>
      </c>
      <c r="H91" s="4">
        <f>IF($I91="No aplicable","No","Sí")</f>
        <v/>
      </c>
      <c r="I91" s="6" t="n"/>
      <c r="J91" s="7" t="inlineStr"/>
      <c r="K91" s="7" t="inlineStr"/>
      <c r="L91" s="6" t="inlineStr"/>
      <c r="M91" s="6" t="inlineStr"/>
      <c r="N91" s="4">
        <f>IFERROR(VLOOKUP($M91,Riesgos!$A$2:$E$200,5,FALSE),"")</f>
        <v/>
      </c>
      <c r="O91" s="8" t="n"/>
      <c r="P91" s="8" t="n"/>
      <c r="Q91" s="9" t="n"/>
      <c r="R91" s="4">
        <f>IF($H91&lt;&gt;"Sí","",IF($I91="No implementado",IF(OR($N91="Muy alto",$N91="Alto"),"ALERTA ALTA","ALERTA"),IF(AND($I91="En proceso",OR($N91="Muy alto",$N91="Alto")),"EN PROCESO (riesgo alto)","")))</f>
        <v/>
      </c>
      <c r="S91" s="7" t="inlineStr"/>
    </row>
    <row r="92" ht="48" customHeight="1">
      <c r="A92" s="4" t="inlineStr">
        <is>
          <t>A.8</t>
        </is>
      </c>
      <c r="B92" s="4" t="inlineStr">
        <is>
          <t>DOM_A8</t>
        </is>
      </c>
      <c r="C92" s="4" t="inlineStr">
        <is>
          <t>Tecnológicos</t>
        </is>
      </c>
      <c r="D92" s="4" t="inlineStr">
        <is>
          <t>A.8.32</t>
        </is>
      </c>
      <c r="E92" s="5" t="inlineStr">
        <is>
          <t>Gestión de cambios</t>
        </is>
      </c>
      <c r="F92" s="5" t="inlineStr">
        <is>
          <t>Gestiona cambios en sistemas y servicios para asegurar evaluación de riesgos, aprobación, pruebas y reversión.</t>
        </is>
      </c>
      <c r="G92" s="5" t="inlineStr">
        <is>
          <t>• Definir proceso ITIL/Change
• evaluar impacto y riesgos
• aprobar
• probar en staging
• plan de rollback
• registrar y comunicar
• revisar post-implementación.</t>
        </is>
      </c>
      <c r="H92" s="4">
        <f>IF($I92="No aplicable","No","Sí")</f>
        <v/>
      </c>
      <c r="I92" s="6" t="n"/>
      <c r="J92" s="7" t="inlineStr"/>
      <c r="K92" s="7" t="inlineStr"/>
      <c r="L92" s="6" t="inlineStr"/>
      <c r="M92" s="6" t="inlineStr"/>
      <c r="N92" s="4">
        <f>IFERROR(VLOOKUP($M92,Riesgos!$A$2:$E$200,5,FALSE),"")</f>
        <v/>
      </c>
      <c r="O92" s="8" t="n"/>
      <c r="P92" s="8" t="n"/>
      <c r="Q92" s="9" t="n"/>
      <c r="R92" s="4">
        <f>IF($H92&lt;&gt;"Sí","",IF($I92="No implementado",IF(OR($N92="Muy alto",$N92="Alto"),"ALERTA ALTA","ALERTA"),IF(AND($I92="En proceso",OR($N92="Muy alto",$N92="Alto")),"EN PROCESO (riesgo alto)","")))</f>
        <v/>
      </c>
      <c r="S92" s="7" t="inlineStr"/>
    </row>
    <row r="93" ht="48" customHeight="1">
      <c r="A93" s="4" t="inlineStr">
        <is>
          <t>A.8</t>
        </is>
      </c>
      <c r="B93" s="4" t="inlineStr">
        <is>
          <t>DOM_A8</t>
        </is>
      </c>
      <c r="C93" s="4" t="inlineStr">
        <is>
          <t>Tecnológicos</t>
        </is>
      </c>
      <c r="D93" s="4" t="inlineStr">
        <is>
          <t>A.8.33</t>
        </is>
      </c>
      <c r="E93" s="5" t="inlineStr">
        <is>
          <t>Información de prueba</t>
        </is>
      </c>
      <c r="F93" s="5" t="inlineStr">
        <is>
          <t>Protege la información de prueba para evitar exposición de datos reales o sensibles en entornos no productivos.</t>
        </is>
      </c>
      <c r="G93" s="5" t="inlineStr">
        <is>
          <t>• Usar datos sintéticos o anonimizados
• aplicar masking
• restringir acceso
• prohibir copiar datos prod sin autorización
• borrar al finalizar
• auditar uso.</t>
        </is>
      </c>
      <c r="H93" s="4">
        <f>IF($I93="No aplicable","No","Sí")</f>
        <v/>
      </c>
      <c r="I93" s="6" t="n"/>
      <c r="J93" s="7" t="inlineStr"/>
      <c r="K93" s="7" t="inlineStr"/>
      <c r="L93" s="6" t="inlineStr"/>
      <c r="M93" s="6" t="inlineStr"/>
      <c r="N93" s="4">
        <f>IFERROR(VLOOKUP($M93,Riesgos!$A$2:$E$200,5,FALSE),"")</f>
        <v/>
      </c>
      <c r="O93" s="8" t="n"/>
      <c r="P93" s="8" t="n"/>
      <c r="Q93" s="9" t="n"/>
      <c r="R93" s="4">
        <f>IF($H93&lt;&gt;"Sí","",IF($I93="No implementado",IF(OR($N93="Muy alto",$N93="Alto"),"ALERTA ALTA","ALERTA"),IF(AND($I93="En proceso",OR($N93="Muy alto",$N93="Alto")),"EN PROCESO (riesgo alto)","")))</f>
        <v/>
      </c>
      <c r="S93" s="7" t="inlineStr"/>
    </row>
    <row r="94" ht="48" customHeight="1">
      <c r="A94" s="4" t="inlineStr">
        <is>
          <t>A.8</t>
        </is>
      </c>
      <c r="B94" s="4" t="inlineStr">
        <is>
          <t>DOM_A8</t>
        </is>
      </c>
      <c r="C94" s="4" t="inlineStr">
        <is>
          <t>Tecnológicos</t>
        </is>
      </c>
      <c r="D94" s="4" t="inlineStr">
        <is>
          <t>A.8.34</t>
        </is>
      </c>
      <c r="E94" s="5" t="inlineStr">
        <is>
          <t>Protección de sistemas durante pruebas de auditoría</t>
        </is>
      </c>
      <c r="F94" s="5" t="inlineStr">
        <is>
          <t>Protege sistemas durante pruebas de auditoría para evitar interrupciones, introducción de vulnerabilidades o exposición de información.</t>
        </is>
      </c>
      <c r="G94" s="5" t="inlineStr">
        <is>
          <t>• Planificar pruebas con ventanas
• autorizar alcance y herramientas
• aplicar controles de seguridad en pruebas
• monitorear impactos
• registrar resultados
• revertir cambios y cerrar hallazgos.</t>
        </is>
      </c>
      <c r="H94" s="4">
        <f>IF($I94="No aplicable","No","Sí")</f>
        <v/>
      </c>
      <c r="I94" s="6" t="n"/>
      <c r="J94" s="7" t="inlineStr"/>
      <c r="K94" s="7" t="inlineStr"/>
      <c r="L94" s="6" t="inlineStr"/>
      <c r="M94" s="6" t="inlineStr"/>
      <c r="N94" s="4">
        <f>IFERROR(VLOOKUP($M94,Riesgos!$A$2:$E$200,5,FALSE),"")</f>
        <v/>
      </c>
      <c r="O94" s="8" t="n"/>
      <c r="P94" s="8" t="n"/>
      <c r="Q94" s="9" t="n"/>
      <c r="R94" s="4">
        <f>IF($H94&lt;&gt;"Sí","",IF($I94="No implementado",IF(OR($N94="Muy alto",$N94="Alto"),"ALERTA ALTA","ALERTA"),IF(AND($I94="En proceso",OR($N94="Muy alto",$N94="Alto")),"EN PROCESO (riesgo alto)","")))</f>
        <v/>
      </c>
      <c r="S94" s="7" t="inlineStr"/>
    </row>
  </sheetData>
  <autoFilter ref="A1:S94"/>
  <conditionalFormatting sqref="A2:S94">
    <cfRule type="expression" priority="4" dxfId="0" stopIfTrue="0">
      <formula>OR($R2="ALERTA",$R2="ALERTA ALTA")</formula>
    </cfRule>
    <cfRule type="expression" priority="5" dxfId="1" stopIfTrue="0">
      <formula>$I2="En proceso"</formula>
    </cfRule>
    <cfRule type="expression" priority="6" dxfId="3" stopIfTrue="0">
      <formula>AND($H2="Sí",$I2="No implementado")</formula>
    </cfRule>
    <cfRule type="expression" priority="7" dxfId="2" stopIfTrue="0">
      <formula>$I2="No aplicable"</formula>
    </cfRule>
  </conditionalFormatting>
  <dataValidations count="2">
    <dataValidation sqref="I2:I94" showDropDown="0" showInputMessage="0" showErrorMessage="0" allowBlank="1" type="list">
      <formula1>=Listas!$A$2:$A$5</formula1>
    </dataValidation>
    <dataValidation sqref="Q2:Q94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55" customWidth="1" min="2" max="2"/>
    <col width="18" customWidth="1" min="3" max="3"/>
    <col width="14" customWidth="1" min="4" max="4"/>
    <col width="12" customWidth="1" min="5" max="5"/>
    <col width="18" customWidth="1" min="6" max="6"/>
    <col width="12" customWidth="1" min="7" max="7"/>
    <col width="30" customWidth="1" min="8" max="8"/>
  </cols>
  <sheetData>
    <row r="1">
      <c r="A1" s="3" t="inlineStr">
        <is>
          <t>ID Riesgo</t>
        </is>
      </c>
      <c r="B1" s="3" t="inlineStr">
        <is>
          <t>Nombre / breve descripción</t>
        </is>
      </c>
      <c r="C1" s="3" t="inlineStr">
        <is>
          <t>Probabilidad (1-5)</t>
        </is>
      </c>
      <c r="D1" s="3" t="inlineStr">
        <is>
          <t>Impacto (1-5)</t>
        </is>
      </c>
      <c r="E1" s="3" t="inlineStr">
        <is>
          <t>Nivel (texto)</t>
        </is>
      </c>
      <c r="F1" s="3" t="inlineStr">
        <is>
          <t>Propietario</t>
        </is>
      </c>
      <c r="G1" s="3" t="inlineStr">
        <is>
          <t>Estado</t>
        </is>
      </c>
      <c r="H1" s="3" t="inlineStr">
        <is>
          <t>Comentarios</t>
        </is>
      </c>
    </row>
    <row r="2">
      <c r="A2" t="inlineStr">
        <is>
          <t>R-001</t>
        </is>
      </c>
      <c r="B2" t="inlineStr">
        <is>
          <t>Pérdida de disponibilidad por falla de infraestructura</t>
        </is>
      </c>
      <c r="C2" t="n">
        <v>3</v>
      </c>
      <c r="D2" t="n">
        <v>4</v>
      </c>
      <c r="E2" t="inlineStr">
        <is>
          <t>Alto</t>
        </is>
      </c>
      <c r="F2" t="inlineStr">
        <is>
          <t>TI</t>
        </is>
      </c>
      <c r="G2" t="inlineStr">
        <is>
          <t>Abierto</t>
        </is>
      </c>
    </row>
    <row r="3">
      <c r="A3" t="inlineStr">
        <is>
          <t>R-002</t>
        </is>
      </c>
      <c r="B3" t="inlineStr">
        <is>
          <t>Fuga de datos por acceso indebido</t>
        </is>
      </c>
      <c r="C3" t="n">
        <v>3</v>
      </c>
      <c r="D3" t="n">
        <v>5</v>
      </c>
      <c r="E3" t="inlineStr">
        <is>
          <t>Muy alto</t>
        </is>
      </c>
      <c r="F3" t="inlineStr">
        <is>
          <t>Seguridad</t>
        </is>
      </c>
      <c r="G3" t="inlineStr">
        <is>
          <t>Abierto</t>
        </is>
      </c>
    </row>
    <row r="4">
      <c r="A4" t="inlineStr">
        <is>
          <t>R-003</t>
        </is>
      </c>
      <c r="B4" t="inlineStr">
        <is>
          <t>Malware/ransomware en endpoints</t>
        </is>
      </c>
      <c r="C4" t="n">
        <v>4</v>
      </c>
      <c r="D4" t="n">
        <v>4</v>
      </c>
      <c r="E4" t="inlineStr">
        <is>
          <t>Muy alto</t>
        </is>
      </c>
      <c r="F4" t="inlineStr">
        <is>
          <t>TI</t>
        </is>
      </c>
      <c r="G4" t="inlineStr">
        <is>
          <t>Abierto</t>
        </is>
      </c>
    </row>
    <row r="5">
      <c r="A5" t="inlineStr">
        <is>
          <t>R-004</t>
        </is>
      </c>
      <c r="B5" t="inlineStr">
        <is>
          <t>Incumplimiento legal (PII) y sanciones</t>
        </is>
      </c>
      <c r="C5" t="n">
        <v>2</v>
      </c>
      <c r="D5" t="n">
        <v>5</v>
      </c>
      <c r="E5" t="inlineStr">
        <is>
          <t>Alto</t>
        </is>
      </c>
      <c r="F5" t="inlineStr">
        <is>
          <t>Legal/DPO</t>
        </is>
      </c>
      <c r="G5" t="inlineStr">
        <is>
          <t>Abierto</t>
        </is>
      </c>
    </row>
    <row r="6">
      <c r="A6" t="inlineStr">
        <is>
          <t>R-005</t>
        </is>
      </c>
      <c r="B6" t="inlineStr">
        <is>
          <t>Proveedor crítico sin controles suficientes</t>
        </is>
      </c>
      <c r="C6" t="n">
        <v>3</v>
      </c>
      <c r="D6" t="n">
        <v>4</v>
      </c>
      <c r="E6" t="inlineStr">
        <is>
          <t>Alto</t>
        </is>
      </c>
      <c r="F6" t="inlineStr">
        <is>
          <t>Compras</t>
        </is>
      </c>
      <c r="G6" t="inlineStr">
        <is>
          <t>Abierto</t>
        </is>
      </c>
    </row>
    <row r="7">
      <c r="A7" t="inlineStr">
        <is>
          <t>R-006</t>
        </is>
      </c>
      <c r="B7" t="inlineStr">
        <is>
          <t>Interrupción por desastre físico (incendio/inundación)</t>
        </is>
      </c>
      <c r="C7" t="n">
        <v>2</v>
      </c>
      <c r="D7" t="n">
        <v>5</v>
      </c>
      <c r="E7" t="inlineStr">
        <is>
          <t>Alto</t>
        </is>
      </c>
      <c r="F7" t="inlineStr">
        <is>
          <t>Operaciones</t>
        </is>
      </c>
      <c r="G7" t="inlineStr">
        <is>
          <t>Abierto</t>
        </is>
      </c>
    </row>
    <row r="8">
      <c r="A8" t="inlineStr">
        <is>
          <t>R-007</t>
        </is>
      </c>
      <c r="B8" t="inlineStr">
        <is>
          <t>Errores humanos por falta de capacitación</t>
        </is>
      </c>
      <c r="C8" t="n">
        <v>3</v>
      </c>
      <c r="D8" t="n">
        <v>3</v>
      </c>
      <c r="E8" t="inlineStr">
        <is>
          <t>Medio</t>
        </is>
      </c>
      <c r="F8" t="inlineStr">
        <is>
          <t>RR.HH.</t>
        </is>
      </c>
      <c r="G8" t="inlineStr">
        <is>
          <t>Abierto</t>
        </is>
      </c>
    </row>
    <row r="9">
      <c r="A9" t="inlineStr">
        <is>
          <t>R-008</t>
        </is>
      </c>
      <c r="B9" t="inlineStr">
        <is>
          <t>Vulnerabilidades sin parchear en sistemas</t>
        </is>
      </c>
      <c r="C9" t="n">
        <v>4</v>
      </c>
      <c r="D9" t="n">
        <v>4</v>
      </c>
      <c r="E9" t="inlineStr">
        <is>
          <t>Muy alto</t>
        </is>
      </c>
      <c r="F9" t="inlineStr">
        <is>
          <t>TI</t>
        </is>
      </c>
      <c r="G9" t="inlineStr">
        <is>
          <t>Abierto</t>
        </is>
      </c>
    </row>
    <row r="10">
      <c r="A10" t="inlineStr">
        <is>
          <t>R-009</t>
        </is>
      </c>
      <c r="B10" t="inlineStr">
        <is>
          <t>Cambios no controlados generan incidentes</t>
        </is>
      </c>
      <c r="C10" t="n">
        <v>3</v>
      </c>
      <c r="D10" t="n">
        <v>4</v>
      </c>
      <c r="E10" t="inlineStr">
        <is>
          <t>Alto</t>
        </is>
      </c>
      <c r="F10" t="inlineStr">
        <is>
          <t>TI</t>
        </is>
      </c>
      <c r="G10" t="inlineStr">
        <is>
          <t>Abierto</t>
        </is>
      </c>
    </row>
    <row r="11">
      <c r="A11" t="inlineStr">
        <is>
          <t>R-010</t>
        </is>
      </c>
      <c r="B11" t="inlineStr">
        <is>
          <t>Pérdida de evidencias ante un incidente</t>
        </is>
      </c>
      <c r="C11" t="n">
        <v>2</v>
      </c>
      <c r="D11" t="n">
        <v>4</v>
      </c>
      <c r="E11" t="inlineStr">
        <is>
          <t>Medio</t>
        </is>
      </c>
      <c r="F11" t="inlineStr">
        <is>
          <t>Seguridad</t>
        </is>
      </c>
      <c r="G11" t="inlineStr">
        <is>
          <t>Abierto</t>
        </is>
      </c>
    </row>
  </sheetData>
  <autoFilter ref="A1:H11"/>
  <dataValidations count="2">
    <dataValidation sqref="E2:E200" showDropDown="0" showInputMessage="0" showErrorMessage="0" allowBlank="1" type="list">
      <formula1>=Listas!$F$2:$F$6</formula1>
    </dataValidation>
    <dataValidation sqref="G2:G200" showDropDown="0" showInputMessage="0" showErrorMessage="0" allowBlank="1" type="list">
      <formula1>=Listas!$H$2:$H$5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Estados</t>
        </is>
      </c>
      <c r="C1" s="2" t="inlineStr">
        <is>
          <t>Dominios</t>
        </is>
      </c>
      <c r="F1" s="2" t="inlineStr">
        <is>
          <t>Niveles de riesgo</t>
        </is>
      </c>
      <c r="H1" s="2" t="inlineStr">
        <is>
          <t>Estados de riesgo</t>
        </is>
      </c>
    </row>
    <row r="2">
      <c r="A2" t="inlineStr">
        <is>
          <t>Implementado</t>
        </is>
      </c>
      <c r="C2" t="inlineStr">
        <is>
          <t>A.5</t>
        </is>
      </c>
      <c r="D2" t="inlineStr">
        <is>
          <t>Organizacionales</t>
        </is>
      </c>
      <c r="E2" t="inlineStr">
        <is>
          <t>DOM_A5</t>
        </is>
      </c>
      <c r="F2" t="inlineStr">
        <is>
          <t>Muy alto</t>
        </is>
      </c>
      <c r="H2" t="inlineStr">
        <is>
          <t>Abierto</t>
        </is>
      </c>
    </row>
    <row r="3">
      <c r="A3" t="inlineStr">
        <is>
          <t>En proceso</t>
        </is>
      </c>
      <c r="C3" t="inlineStr">
        <is>
          <t>A.6</t>
        </is>
      </c>
      <c r="D3" t="inlineStr">
        <is>
          <t>Personas</t>
        </is>
      </c>
      <c r="E3" t="inlineStr">
        <is>
          <t>DOM_A6</t>
        </is>
      </c>
      <c r="F3" t="inlineStr">
        <is>
          <t>Alto</t>
        </is>
      </c>
      <c r="H3" t="inlineStr">
        <is>
          <t>En tratamiento</t>
        </is>
      </c>
    </row>
    <row r="4">
      <c r="A4" t="inlineStr">
        <is>
          <t>No implementado</t>
        </is>
      </c>
      <c r="C4" t="inlineStr">
        <is>
          <t>A.7</t>
        </is>
      </c>
      <c r="D4" t="inlineStr">
        <is>
          <t>Físicos</t>
        </is>
      </c>
      <c r="E4" t="inlineStr">
        <is>
          <t>DOM_A7</t>
        </is>
      </c>
      <c r="F4" t="inlineStr">
        <is>
          <t>Medio</t>
        </is>
      </c>
      <c r="H4" t="inlineStr">
        <is>
          <t>Aceptado</t>
        </is>
      </c>
    </row>
    <row r="5">
      <c r="A5" t="inlineStr">
        <is>
          <t>No aplicable</t>
        </is>
      </c>
      <c r="C5" t="inlineStr">
        <is>
          <t>A.8</t>
        </is>
      </c>
      <c r="D5" t="inlineStr">
        <is>
          <t>Tecnológicos</t>
        </is>
      </c>
      <c r="E5" t="inlineStr">
        <is>
          <t>DOM_A8</t>
        </is>
      </c>
      <c r="F5" t="inlineStr">
        <is>
          <t>Bajo</t>
        </is>
      </c>
      <c r="H5" t="inlineStr">
        <is>
          <t>Cerrado</t>
        </is>
      </c>
    </row>
    <row r="6">
      <c r="F6" t="inlineStr">
        <is>
          <t>Muy bajo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0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24" customWidth="1" min="9" max="9"/>
    <col width="28" customWidth="1" min="10" max="10"/>
  </cols>
  <sheetData>
    <row r="1">
      <c r="A1" s="1" t="inlineStr">
        <is>
          <t>Dashboard – Controles ISO/IEC 27001:2022</t>
        </is>
      </c>
    </row>
    <row r="2">
      <c r="A2" t="inlineStr">
        <is>
          <t>Última actualización (hoy):</t>
        </is>
      </c>
      <c r="B2" s="10">
        <f>TODAY()</f>
        <v/>
      </c>
    </row>
    <row r="3"/>
    <row r="4" ht="28" customHeight="1">
      <c r="A4" s="3" t="inlineStr">
        <is>
          <t>Dominio</t>
        </is>
      </c>
      <c r="B4" s="3" t="inlineStr">
        <is>
          <t>Categoría</t>
        </is>
      </c>
      <c r="C4" s="3" t="inlineStr">
        <is>
          <t>Total</t>
        </is>
      </c>
      <c r="D4" s="3" t="inlineStr">
        <is>
          <t>Aplicables</t>
        </is>
      </c>
      <c r="E4" s="3" t="inlineStr">
        <is>
          <t>Implementados</t>
        </is>
      </c>
      <c r="F4" s="3" t="inlineStr">
        <is>
          <t>En proceso</t>
        </is>
      </c>
      <c r="G4" s="3" t="inlineStr">
        <is>
          <t>No implementados</t>
        </is>
      </c>
      <c r="H4" s="3" t="inlineStr">
        <is>
          <t>No aplicables</t>
        </is>
      </c>
      <c r="I4" s="3" t="inlineStr">
        <is>
          <t>% Implementado (sobre aplicables)</t>
        </is>
      </c>
      <c r="J4" s="3" t="inlineStr">
        <is>
          <t>Alertas (aplicable y no implementado)</t>
        </is>
      </c>
    </row>
    <row r="5">
      <c r="A5" s="11" t="inlineStr">
        <is>
          <t>A.5</t>
        </is>
      </c>
      <c r="B5" s="11" t="inlineStr">
        <is>
          <t>Organizacionales</t>
        </is>
      </c>
      <c r="C5" s="11">
        <f>COUNTIF(Controles!$B$2:$B$50,"DOM_A5")+COUNTIF(Controles!$B$51:$B$94,"DOM_A5")</f>
        <v/>
      </c>
      <c r="D5" s="11">
        <f>COUNTIFS(Controles!$B$2:$B$50,"DOM_A5",Controles!$H$2:$H$50,"Sí")+COUNTIFS(Controles!$B$51:$B$94,"DOM_A5",Controles!$H$51:$H$94,"Sí")</f>
        <v/>
      </c>
      <c r="E5" s="11">
        <f>COUNTIFS(Controles!$B$2:$B$50,"DOM_A5",Controles!$I$2:$I$50,"Implementado")+COUNTIFS(Controles!$B$51:$B$94,"DOM_A5",Controles!$I$51:$I$94,"Implementado")</f>
        <v/>
      </c>
      <c r="F5" s="11">
        <f>COUNTIFS(Controles!$B$2:$B$50,"DOM_A5",Controles!$I$2:$I$50,"En proceso")+COUNTIFS(Controles!$B$51:$B$94,"DOM_A5",Controles!$I$51:$I$94,"En proceso")</f>
        <v/>
      </c>
      <c r="G5" s="11">
        <f>COUNTIFS(Controles!$B$2:$B$50,"DOM_A5",Controles!$I$2:$I$50,"No implementado")+COUNTIFS(Controles!$B$51:$B$94,"DOM_A5",Controles!$I$51:$I$94,"No implementado")</f>
        <v/>
      </c>
      <c r="H5" s="11">
        <f>COUNTIFS(Controles!$B$2:$B$50,"DOM_A5",Controles!$I$2:$I$50,"No aplicable")+COUNTIFS(Controles!$B$51:$B$94,"DOM_A5",Controles!$I$51:$I$94,"No aplicable")</f>
        <v/>
      </c>
      <c r="I5" s="12">
        <f>IF(D5=0,0,E5/D5)</f>
        <v/>
      </c>
      <c r="J5" s="11">
        <f>COUNTIFS(Controles!$B$2:$B$50,"DOM_A5",Controles!$R$2:$R$50,"ALERTA")+COUNTIFS(Controles!$B$2:$B$50,"DOM_A5",Controles!$R$2:$R$50,"ALERTA ALTA")+COUNTIFS(Controles!$B$51:$B$94,"DOM_A5",Controles!$R$51:$R$94,"ALERTA")+COUNTIFS(Controles!$B$51:$B$94,"DOM_A5",Controles!$R$51:$R$94,"ALERTA ALTA")</f>
        <v/>
      </c>
    </row>
    <row r="6">
      <c r="A6" s="11" t="inlineStr">
        <is>
          <t>A.6</t>
        </is>
      </c>
      <c r="B6" s="11" t="inlineStr">
        <is>
          <t>Personas</t>
        </is>
      </c>
      <c r="C6" s="11">
        <f>COUNTIF(Controles!$B$2:$B$50,"DOM_A6")+COUNTIF(Controles!$B$51:$B$94,"DOM_A6")</f>
        <v/>
      </c>
      <c r="D6" s="11">
        <f>COUNTIFS(Controles!$B$2:$B$50,"DOM_A6",Controles!$H$2:$H$50,"Sí")+COUNTIFS(Controles!$B$51:$B$94,"DOM_A6",Controles!$H$51:$H$94,"Sí")</f>
        <v/>
      </c>
      <c r="E6" s="11">
        <f>COUNTIFS(Controles!$B$2:$B$50,"DOM_A6",Controles!$I$2:$I$50,"Implementado")+COUNTIFS(Controles!$B$51:$B$94,"DOM_A6",Controles!$I$51:$I$94,"Implementado")</f>
        <v/>
      </c>
      <c r="F6" s="11">
        <f>COUNTIFS(Controles!$B$2:$B$50,"DOM_A6",Controles!$I$2:$I$50,"En proceso")+COUNTIFS(Controles!$B$51:$B$94,"DOM_A6",Controles!$I$51:$I$94,"En proceso")</f>
        <v/>
      </c>
      <c r="G6" s="11">
        <f>COUNTIFS(Controles!$B$2:$B$50,"DOM_A6",Controles!$I$2:$I$50,"No implementado")+COUNTIFS(Controles!$B$51:$B$94,"DOM_A6",Controles!$I$51:$I$94,"No implementado")</f>
        <v/>
      </c>
      <c r="H6" s="11">
        <f>COUNTIFS(Controles!$B$2:$B$50,"DOM_A6",Controles!$I$2:$I$50,"No aplicable")+COUNTIFS(Controles!$B$51:$B$94,"DOM_A6",Controles!$I$51:$I$94,"No aplicable")</f>
        <v/>
      </c>
      <c r="I6" s="12">
        <f>IF(D6=0,0,E6/D6)</f>
        <v/>
      </c>
      <c r="J6" s="11">
        <f>COUNTIFS(Controles!$B$2:$B$50,"DOM_A6",Controles!$R$2:$R$50,"ALERTA")+COUNTIFS(Controles!$B$2:$B$50,"DOM_A6",Controles!$R$2:$R$50,"ALERTA ALTA")+COUNTIFS(Controles!$B$51:$B$94,"DOM_A6",Controles!$R$51:$R$94,"ALERTA")+COUNTIFS(Controles!$B$51:$B$94,"DOM_A6",Controles!$R$51:$R$94,"ALERTA ALTA")</f>
        <v/>
      </c>
    </row>
    <row r="7">
      <c r="A7" s="11" t="inlineStr">
        <is>
          <t>A.7</t>
        </is>
      </c>
      <c r="B7" s="11" t="inlineStr">
        <is>
          <t>Físicos</t>
        </is>
      </c>
      <c r="C7" s="11">
        <f>COUNTIF(Controles!$B$2:$B$50,"DOM_A7")+COUNTIF(Controles!$B$51:$B$94,"DOM_A7")</f>
        <v/>
      </c>
      <c r="D7" s="11">
        <f>COUNTIFS(Controles!$B$2:$B$50,"DOM_A7",Controles!$H$2:$H$50,"Sí")+COUNTIFS(Controles!$B$51:$B$94,"DOM_A7",Controles!$H$51:$H$94,"Sí")</f>
        <v/>
      </c>
      <c r="E7" s="11">
        <f>COUNTIFS(Controles!$B$2:$B$50,"DOM_A7",Controles!$I$2:$I$50,"Implementado")+COUNTIFS(Controles!$B$51:$B$94,"DOM_A7",Controles!$I$51:$I$94,"Implementado")</f>
        <v/>
      </c>
      <c r="F7" s="11">
        <f>COUNTIFS(Controles!$B$2:$B$50,"DOM_A7",Controles!$I$2:$I$50,"En proceso")+COUNTIFS(Controles!$B$51:$B$94,"DOM_A7",Controles!$I$51:$I$94,"En proceso")</f>
        <v/>
      </c>
      <c r="G7" s="11">
        <f>COUNTIFS(Controles!$B$2:$B$50,"DOM_A7",Controles!$I$2:$I$50,"No implementado")+COUNTIFS(Controles!$B$51:$B$94,"DOM_A7",Controles!$I$51:$I$94,"No implementado")</f>
        <v/>
      </c>
      <c r="H7" s="11">
        <f>COUNTIFS(Controles!$B$2:$B$50,"DOM_A7",Controles!$I$2:$I$50,"No aplicable")+COUNTIFS(Controles!$B$51:$B$94,"DOM_A7",Controles!$I$51:$I$94,"No aplicable")</f>
        <v/>
      </c>
      <c r="I7" s="12">
        <f>IF(D7=0,0,E7/D7)</f>
        <v/>
      </c>
      <c r="J7" s="11">
        <f>COUNTIFS(Controles!$B$2:$B$50,"DOM_A7",Controles!$R$2:$R$50,"ALERTA")+COUNTIFS(Controles!$B$2:$B$50,"DOM_A7",Controles!$R$2:$R$50,"ALERTA ALTA")+COUNTIFS(Controles!$B$51:$B$94,"DOM_A7",Controles!$R$51:$R$94,"ALERTA")+COUNTIFS(Controles!$B$51:$B$94,"DOM_A7",Controles!$R$51:$R$94,"ALERTA ALTA")</f>
        <v/>
      </c>
    </row>
    <row r="8">
      <c r="A8" s="11" t="inlineStr">
        <is>
          <t>A.8</t>
        </is>
      </c>
      <c r="B8" s="11" t="inlineStr">
        <is>
          <t>Tecnológicos</t>
        </is>
      </c>
      <c r="C8" s="11">
        <f>COUNTIF(Controles!$B$2:$B$50,"DOM_A8")+COUNTIF(Controles!$B$51:$B$94,"DOM_A8")</f>
        <v/>
      </c>
      <c r="D8" s="11">
        <f>COUNTIFS(Controles!$B$2:$B$50,"DOM_A8",Controles!$H$2:$H$50,"Sí")+COUNTIFS(Controles!$B$51:$B$94,"DOM_A8",Controles!$H$51:$H$94,"Sí")</f>
        <v/>
      </c>
      <c r="E8" s="11">
        <f>COUNTIFS(Controles!$B$2:$B$50,"DOM_A8",Controles!$I$2:$I$50,"Implementado")+COUNTIFS(Controles!$B$51:$B$94,"DOM_A8",Controles!$I$51:$I$94,"Implementado")</f>
        <v/>
      </c>
      <c r="F8" s="11">
        <f>COUNTIFS(Controles!$B$2:$B$50,"DOM_A8",Controles!$I$2:$I$50,"En proceso")+COUNTIFS(Controles!$B$51:$B$94,"DOM_A8",Controles!$I$51:$I$94,"En proceso")</f>
        <v/>
      </c>
      <c r="G8" s="11">
        <f>COUNTIFS(Controles!$B$2:$B$50,"DOM_A8",Controles!$I$2:$I$50,"No implementado")+COUNTIFS(Controles!$B$51:$B$94,"DOM_A8",Controles!$I$51:$I$94,"No implementado")</f>
        <v/>
      </c>
      <c r="H8" s="11">
        <f>COUNTIFS(Controles!$B$2:$B$50,"DOM_A8",Controles!$I$2:$I$50,"No aplicable")+COUNTIFS(Controles!$B$51:$B$94,"DOM_A8",Controles!$I$51:$I$94,"No aplicable")</f>
        <v/>
      </c>
      <c r="I8" s="12">
        <f>IF(D8=0,0,E8/D8)</f>
        <v/>
      </c>
      <c r="J8" s="11">
        <f>COUNTIFS(Controles!$B$2:$B$50,"DOM_A8",Controles!$R$2:$R$50,"ALERTA")+COUNTIFS(Controles!$B$2:$B$50,"DOM_A8",Controles!$R$2:$R$50,"ALERTA ALTA")+COUNTIFS(Controles!$B$51:$B$94,"DOM_A8",Controles!$R$51:$R$94,"ALERTA")+COUNTIFS(Controles!$B$51:$B$94,"DOM_A8",Controles!$R$51:$R$94,"ALERTA ALTA")</f>
        <v/>
      </c>
    </row>
    <row r="9">
      <c r="A9" s="13" t="inlineStr">
        <is>
          <t>TOTAL</t>
        </is>
      </c>
      <c r="B9" s="13" t="n"/>
      <c r="C9" s="13">
        <f>SUM(C5:C8)</f>
        <v/>
      </c>
      <c r="D9" s="13">
        <f>SUM(D5:D8)</f>
        <v/>
      </c>
      <c r="E9" s="13">
        <f>SUM(E5:E8)</f>
        <v/>
      </c>
      <c r="F9" s="13">
        <f>SUM(F5:F8)</f>
        <v/>
      </c>
      <c r="G9" s="13">
        <f>SUM(G5:G8)</f>
        <v/>
      </c>
      <c r="H9" s="13">
        <f>SUM(H5:H8)</f>
        <v/>
      </c>
      <c r="I9" s="14">
        <f>IF(D9=0,0,E9/D9)</f>
        <v/>
      </c>
      <c r="J9" s="13">
        <f>SUM(J5:J8)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2025-12-24T14:08:34Z</dcterms:created>
  <dcterms:modified xmlns:dcterms="http://purl.org/dc/terms/" xmlns:xsi="http://www.w3.org/2001/XMLSchema-instance" xsi:type="dcterms:W3CDTF">2025-12-24T15:06:50Z</dcterms:modified>
</cp:coreProperties>
</file>